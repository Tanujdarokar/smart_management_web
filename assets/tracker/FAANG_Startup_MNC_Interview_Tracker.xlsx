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SA Tracker" sheetId="2" state="visible" r:id="rId4"/>
    <sheet name="System Design" sheetId="3" state="visible" r:id="rId5"/>
  </sheets>
  <definedNames>
    <definedName function="false" hidden="true" localSheetId="1" name="_xlnm._FilterDatabase" vbProcedure="false">'DSA Tracker'!$A$1:$M$70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<sst xmlns="http://schemas.openxmlformats.org/spreadsheetml/2006/main" count="704" uniqueCount="302">
  <si>
    <t xml:space="preserve">Interview Prep Tracker: Progress Summary</t>
  </si>
  <si>
    <t xml:space="preserve">All figures below are formulas driven by the 'DSA Tracker' sheet. Just update the tracker; this page updates itself.</t>
  </si>
  <si>
    <t xml:space="preserve">Overall</t>
  </si>
  <si>
    <t xml:space="preserve">Total problems</t>
  </si>
  <si>
    <t xml:space="preserve">Attempted</t>
  </si>
  <si>
    <t xml:space="preserve">Solved without hints</t>
  </si>
  <si>
    <t xml:space="preserve">% Attempted</t>
  </si>
  <si>
    <t xml:space="preserve">% Solved without hints</t>
  </si>
  <si>
    <t xml:space="preserve">Total time spent (min)</t>
  </si>
  <si>
    <t xml:space="preserve">By DSA Topic</t>
  </si>
  <si>
    <t xml:space="preserve">DSA Topic</t>
  </si>
  <si>
    <t xml:space="preserve">Total</t>
  </si>
  <si>
    <t xml:space="preserve">Solved w/o Hints</t>
  </si>
  <si>
    <t xml:space="preserve">Arrays &amp; Hashing</t>
  </si>
  <si>
    <t xml:space="preserve">Two Pointers</t>
  </si>
  <si>
    <t xml:space="preserve">Sliding Window</t>
  </si>
  <si>
    <t xml:space="preserve">Stack</t>
  </si>
  <si>
    <t xml:space="preserve">Binary Search</t>
  </si>
  <si>
    <t xml:space="preserve">Linked List</t>
  </si>
  <si>
    <t xml:space="preserve">Trees</t>
  </si>
  <si>
    <t xml:space="preserve">Heap / Priority Queue</t>
  </si>
  <si>
    <t xml:space="preserve">Backtracking</t>
  </si>
  <si>
    <t xml:space="preserve">Tries</t>
  </si>
  <si>
    <t xml:space="preserve">Graphs</t>
  </si>
  <si>
    <t xml:space="preserve">Dynamic Programming</t>
  </si>
  <si>
    <t xml:space="preserve">Intervals</t>
  </si>
  <si>
    <t xml:space="preserve">Greedy</t>
  </si>
  <si>
    <t xml:space="preserve">Bit Manipulation</t>
  </si>
  <si>
    <t xml:space="preserve">By Difficulty</t>
  </si>
  <si>
    <t xml:space="preserve">Difficulty</t>
  </si>
  <si>
    <t xml:space="preserve">Easy</t>
  </si>
  <si>
    <t xml:space="preserve">Medium</t>
  </si>
  <si>
    <t xml:space="preserve">Hard</t>
  </si>
  <si>
    <t xml:space="preserve">How to use</t>
  </si>
  <si>
    <t xml:space="preserve">1. Go to the 'DSA Tracker' sheet and fill only the last 5 columns: Attempted, Solved Without Hints (pick Yes/No), Time Taken (minutes), Revisit Date, Notes.</t>
  </si>
  <si>
    <t xml:space="preserve">2. Example of expected format: Attempted = Yes | Solved Without Hints = No | Time Taken = 25 | Revisit Date = 01-Oct-2026 | Notes = 'forgot to handle empty array'.</t>
  </si>
  <si>
    <t xml:space="preserve">3. Use the filter arrows on the header row to filter by DSA Topic, Difficulty, or any company (e.g. type 'Razorpay' in the Top Startups filter's search box).</t>
  </si>
  <si>
    <t xml:space="preserve">4. Company columns are based on commonly reported interview patterns (candidate reports, LeetCode/GeeksforGeeks tags). They are a guide, not a guarantee.</t>
  </si>
  <si>
    <t xml:space="preserve">5. Service-based MNCs (TCS, Infosys, Accenture, Cognizant) mostly ask Easy problems; product MNCs (Microsoft, Adobe, Oracle, Goldman Sachs) go up to Medium/Hard.</t>
  </si>
  <si>
    <t xml:space="preserve">#</t>
  </si>
  <si>
    <t xml:space="preserve">Question</t>
  </si>
  <si>
    <t xml:space="preserve">Pattern / Technique</t>
  </si>
  <si>
    <t xml:space="preserve">MAANG / FAANG</t>
  </si>
  <si>
    <t xml:space="preserve">Top Startups</t>
  </si>
  <si>
    <t xml:space="preserve">Top MNCs</t>
  </si>
  <si>
    <t xml:space="preserve">Solved Without Hints</t>
  </si>
  <si>
    <t xml:space="preserve">Time Taken (min)</t>
  </si>
  <si>
    <t xml:space="preserve">Revisit Date</t>
  </si>
  <si>
    <t xml:space="preserve">Notes</t>
  </si>
  <si>
    <t xml:space="preserve">Two Sum</t>
  </si>
  <si>
    <t xml:space="preserve">Hash Map</t>
  </si>
  <si>
    <t xml:space="preserve">Amazon, Google, Meta, Apple</t>
  </si>
  <si>
    <t xml:space="preserve">Razorpay, Zomato, Flipkart</t>
  </si>
  <si>
    <t xml:space="preserve">TCS, Infosys, Accenture, Microsoft</t>
  </si>
  <si>
    <t xml:space="preserve">No</t>
  </si>
  <si>
    <t xml:space="preserve">Contains Duplicate</t>
  </si>
  <si>
    <t xml:space="preserve">Hash Set</t>
  </si>
  <si>
    <t xml:space="preserve">Amazon, Apple</t>
  </si>
  <si>
    <t xml:space="preserve">Swiggy, Meesho</t>
  </si>
  <si>
    <t xml:space="preserve">TCS, Cognizant, Infosys</t>
  </si>
  <si>
    <t xml:space="preserve">Valid Anagram</t>
  </si>
  <si>
    <t xml:space="preserve">Frequency Count</t>
  </si>
  <si>
    <t xml:space="preserve">Amazon, Meta</t>
  </si>
  <si>
    <t xml:space="preserve">Zomato, Paytm</t>
  </si>
  <si>
    <t xml:space="preserve">Accenture, Cognizant, IBM</t>
  </si>
  <si>
    <t xml:space="preserve">Group Anagrams</t>
  </si>
  <si>
    <t xml:space="preserve">Hash Map + Sorting</t>
  </si>
  <si>
    <t xml:space="preserve">Amazon, Google, Meta</t>
  </si>
  <si>
    <t xml:space="preserve">Flipkart, Swiggy</t>
  </si>
  <si>
    <t xml:space="preserve">Microsoft, Goldman Sachs</t>
  </si>
  <si>
    <t xml:space="preserve">Product of Array Except Self</t>
  </si>
  <si>
    <t xml:space="preserve">Prefix / Suffix</t>
  </si>
  <si>
    <t xml:space="preserve">Amazon, Meta, Apple</t>
  </si>
  <si>
    <t xml:space="preserve">Flipkart, CRED</t>
  </si>
  <si>
    <t xml:space="preserve">Microsoft, Adobe</t>
  </si>
  <si>
    <t xml:space="preserve">Best Time to Buy and Sell Stock</t>
  </si>
  <si>
    <t xml:space="preserve">Greedy, One Pass</t>
  </si>
  <si>
    <t xml:space="preserve">Amazon, Meta, Google</t>
  </si>
  <si>
    <t xml:space="preserve">Razorpay, Zerodha</t>
  </si>
  <si>
    <t xml:space="preserve">Goldman Sachs, Walmart, Infosys</t>
  </si>
  <si>
    <t xml:space="preserve">Longest Consecutive Sequence</t>
  </si>
  <si>
    <t xml:space="preserve">Google, Amazon, Meta</t>
  </si>
  <si>
    <t xml:space="preserve">CRED, PhonePe</t>
  </si>
  <si>
    <t xml:space="preserve">Microsoft, Oracle</t>
  </si>
  <si>
    <t xml:space="preserve">Move Zeroes</t>
  </si>
  <si>
    <t xml:space="preserve">In-place Two Pointers</t>
  </si>
  <si>
    <t xml:space="preserve">Meta, Amazon</t>
  </si>
  <si>
    <t xml:space="preserve">Zomato, Meesho</t>
  </si>
  <si>
    <t xml:space="preserve">TCS, Infosys, Cognizant</t>
  </si>
  <si>
    <t xml:space="preserve">Rotate Array</t>
  </si>
  <si>
    <t xml:space="preserve">Reverse Trick</t>
  </si>
  <si>
    <t xml:space="preserve">Swiggy, Paytm</t>
  </si>
  <si>
    <t xml:space="preserve">TCS, Adobe, Wipro</t>
  </si>
  <si>
    <t xml:space="preserve">Valid Palindrome</t>
  </si>
  <si>
    <t xml:space="preserve">Zomato, Swiggy</t>
  </si>
  <si>
    <t xml:space="preserve">TCS, Infosys, Accenture</t>
  </si>
  <si>
    <t xml:space="preserve">3Sum</t>
  </si>
  <si>
    <t xml:space="preserve">Sort + Two Pointers</t>
  </si>
  <si>
    <t xml:space="preserve">Meta, Amazon, Google</t>
  </si>
  <si>
    <t xml:space="preserve">Flipkart, PhonePe</t>
  </si>
  <si>
    <t xml:space="preserve">Container With Most Water</t>
  </si>
  <si>
    <t xml:space="preserve">Two Pointers, Greedy</t>
  </si>
  <si>
    <t xml:space="preserve">Trapping Rain Water</t>
  </si>
  <si>
    <t xml:space="preserve">Two Pointers / Monotonic Stack</t>
  </si>
  <si>
    <t xml:space="preserve">Google, Amazon, Apple</t>
  </si>
  <si>
    <t xml:space="preserve">Flipkart, Razorpay</t>
  </si>
  <si>
    <t xml:space="preserve">Goldman Sachs, Microsoft, Oracle</t>
  </si>
  <si>
    <t xml:space="preserve">Longest Substring Without Repeating Characters</t>
  </si>
  <si>
    <t xml:space="preserve">Variable Window + Hash Set</t>
  </si>
  <si>
    <t xml:space="preserve">Microsoft, Adobe, Accenture</t>
  </si>
  <si>
    <t xml:space="preserve">Longest Repeating Character Replacement</t>
  </si>
  <si>
    <t xml:space="preserve">Variable Window</t>
  </si>
  <si>
    <t xml:space="preserve">Google, Amazon</t>
  </si>
  <si>
    <t xml:space="preserve">Razorpay, CRED</t>
  </si>
  <si>
    <t xml:space="preserve">Adobe, Oracle</t>
  </si>
  <si>
    <t xml:space="preserve">Minimum Window Substring</t>
  </si>
  <si>
    <t xml:space="preserve">Variable Window + Hash Map</t>
  </si>
  <si>
    <t xml:space="preserve">Meta, Google, Amazon</t>
  </si>
  <si>
    <t xml:space="preserve">Sliding Window Maximum</t>
  </si>
  <si>
    <t xml:space="preserve">Monotonic Deque</t>
  </si>
  <si>
    <t xml:space="preserve">Flipkart, Meesho</t>
  </si>
  <si>
    <t xml:space="preserve">Microsoft, Walmart</t>
  </si>
  <si>
    <t xml:space="preserve">Valid Parentheses</t>
  </si>
  <si>
    <t xml:space="preserve">Stack Matching</t>
  </si>
  <si>
    <t xml:space="preserve">Zomato, Razorpay, Swiggy</t>
  </si>
  <si>
    <t xml:space="preserve">Min Stack</t>
  </si>
  <si>
    <t xml:space="preserve">Stack Design</t>
  </si>
  <si>
    <t xml:space="preserve">Amazon, Apple, Google</t>
  </si>
  <si>
    <t xml:space="preserve">Swiggy, Zerodha</t>
  </si>
  <si>
    <t xml:space="preserve">Daily Temperatures</t>
  </si>
  <si>
    <t xml:space="preserve">Monotonic Stack</t>
  </si>
  <si>
    <t xml:space="preserve">Meesho, CRED</t>
  </si>
  <si>
    <t xml:space="preserve">Adobe, Walmart</t>
  </si>
  <si>
    <t xml:space="preserve">Largest Rectangle in Histogram</t>
  </si>
  <si>
    <t xml:space="preserve">Classic Binary Search</t>
  </si>
  <si>
    <t xml:space="preserve">Search in Rotated Sorted Array</t>
  </si>
  <si>
    <t xml:space="preserve">Modified Binary Search</t>
  </si>
  <si>
    <t xml:space="preserve">Amazon, Meta, Google, Apple</t>
  </si>
  <si>
    <t xml:space="preserve">Microsoft, Adobe, Oracle</t>
  </si>
  <si>
    <t xml:space="preserve">Find Minimum in Rotated Sorted Array</t>
  </si>
  <si>
    <t xml:space="preserve">Koko Eating Bananas</t>
  </si>
  <si>
    <t xml:space="preserve">Binary Search on Answer</t>
  </si>
  <si>
    <t xml:space="preserve">Amazon, Google</t>
  </si>
  <si>
    <t xml:space="preserve">Swiggy, CRED</t>
  </si>
  <si>
    <t xml:space="preserve">Goldman Sachs, Walmart</t>
  </si>
  <si>
    <t xml:space="preserve">Median of Two Sorted Arrays</t>
  </si>
  <si>
    <t xml:space="preserve">Binary Search on Partition</t>
  </si>
  <si>
    <t xml:space="preserve">Reverse Linked List</t>
  </si>
  <si>
    <t xml:space="preserve">Iterative / Recursive</t>
  </si>
  <si>
    <t xml:space="preserve">Zomato, Razorpay</t>
  </si>
  <si>
    <t xml:space="preserve">TCS, Infosys, Microsoft, Accenture</t>
  </si>
  <si>
    <t xml:space="preserve">Merge Two Sorted Lists</t>
  </si>
  <si>
    <t xml:space="preserve">Pointer Manipulation</t>
  </si>
  <si>
    <t xml:space="preserve">Amazon, Apple, Meta</t>
  </si>
  <si>
    <t xml:space="preserve">Microsoft, Oracle, Cognizant</t>
  </si>
  <si>
    <t xml:space="preserve">Linked List Cycle</t>
  </si>
  <si>
    <t xml:space="preserve">Fast &amp; Slow Pointers</t>
  </si>
  <si>
    <t xml:space="preserve">TCS, Infosys, Microsoft</t>
  </si>
  <si>
    <t xml:space="preserve">Remove Nth Node From End of List</t>
  </si>
  <si>
    <t xml:space="preserve">Meta, Amazon, Apple</t>
  </si>
  <si>
    <t xml:space="preserve">LRU Cache</t>
  </si>
  <si>
    <t xml:space="preserve">Hash Map + Doubly Linked List</t>
  </si>
  <si>
    <t xml:space="preserve">Amazon, Meta, Apple, Google</t>
  </si>
  <si>
    <t xml:space="preserve">Razorpay, Flipkart, Swiggy</t>
  </si>
  <si>
    <t xml:space="preserve">Microsoft, Oracle, Goldman Sachs</t>
  </si>
  <si>
    <t xml:space="preserve">Merge k Sorted Lists</t>
  </si>
  <si>
    <t xml:space="preserve">Heap / Divide &amp; Conquer</t>
  </si>
  <si>
    <t xml:space="preserve">Invert Binary Tree</t>
  </si>
  <si>
    <t xml:space="preserve">DFS / BFS</t>
  </si>
  <si>
    <t xml:space="preserve">Maximum Depth of Binary Tree</t>
  </si>
  <si>
    <t xml:space="preserve">DFS</t>
  </si>
  <si>
    <t xml:space="preserve">TCS, Accenture, Cognizant</t>
  </si>
  <si>
    <t xml:space="preserve">Binary Tree Level Order Traversal</t>
  </si>
  <si>
    <t xml:space="preserve">BFS</t>
  </si>
  <si>
    <t xml:space="preserve">Swiggy, Razorpay</t>
  </si>
  <si>
    <t xml:space="preserve">Microsoft, Oracle, Infosys</t>
  </si>
  <si>
    <t xml:space="preserve">Validate Binary Search Tree</t>
  </si>
  <si>
    <t xml:space="preserve">DFS with Bounds / Inorder</t>
  </si>
  <si>
    <t xml:space="preserve">Lowest Common Ancestor of a Binary Tree</t>
  </si>
  <si>
    <t xml:space="preserve">DFS / Recursion</t>
  </si>
  <si>
    <t xml:space="preserve">Serialize and Deserialize Binary Tree</t>
  </si>
  <si>
    <t xml:space="preserve">BFS / DFS + Encoding</t>
  </si>
  <si>
    <t xml:space="preserve">Binary Tree Maximum Path Sum</t>
  </si>
  <si>
    <t xml:space="preserve">DFS, Post-order</t>
  </si>
  <si>
    <t xml:space="preserve">Kth Largest Element in an Array</t>
  </si>
  <si>
    <t xml:space="preserve">Min Heap / Quickselect</t>
  </si>
  <si>
    <t xml:space="preserve">Top K Frequent Elements</t>
  </si>
  <si>
    <t xml:space="preserve">Hash Map + Heap / Bucket Sort</t>
  </si>
  <si>
    <t xml:space="preserve">Amazon, Netflix, Meta</t>
  </si>
  <si>
    <t xml:space="preserve">Razorpay, Meesho</t>
  </si>
  <si>
    <t xml:space="preserve">Task Scheduler</t>
  </si>
  <si>
    <t xml:space="preserve">Greedy + Heap</t>
  </si>
  <si>
    <t xml:space="preserve">Find Median from Data Stream</t>
  </si>
  <si>
    <t xml:space="preserve">Two Heaps</t>
  </si>
  <si>
    <t xml:space="preserve">Amazon, Google, Meta, Netflix</t>
  </si>
  <si>
    <t xml:space="preserve">Flipkart, Zerodha</t>
  </si>
  <si>
    <t xml:space="preserve">Subsets</t>
  </si>
  <si>
    <t xml:space="preserve">Razorpay, Swiggy</t>
  </si>
  <si>
    <t xml:space="preserve">Permutations</t>
  </si>
  <si>
    <t xml:space="preserve">Zomato, Flipkart</t>
  </si>
  <si>
    <t xml:space="preserve">Combination Sum</t>
  </si>
  <si>
    <t xml:space="preserve">Word Search</t>
  </si>
  <si>
    <t xml:space="preserve">Grid DFS + Backtracking</t>
  </si>
  <si>
    <t xml:space="preserve">N-Queens</t>
  </si>
  <si>
    <t xml:space="preserve">Implement Trie (Prefix Tree)</t>
  </si>
  <si>
    <t xml:space="preserve">Trie</t>
  </si>
  <si>
    <t xml:space="preserve">Swiggy, Zomato (search)</t>
  </si>
  <si>
    <t xml:space="preserve">Word Search II</t>
  </si>
  <si>
    <t xml:space="preserve">Trie + Backtracking</t>
  </si>
  <si>
    <t xml:space="preserve">Number of Islands</t>
  </si>
  <si>
    <t xml:space="preserve">BFS / DFS on Grid</t>
  </si>
  <si>
    <t xml:space="preserve">Flipkart, Swiggy, Razorpay</t>
  </si>
  <si>
    <t xml:space="preserve">Microsoft, Adobe, Walmart</t>
  </si>
  <si>
    <t xml:space="preserve">Clone Graph</t>
  </si>
  <si>
    <t xml:space="preserve">DFS / BFS + Hash Map</t>
  </si>
  <si>
    <t xml:space="preserve">Swiggy, PhonePe</t>
  </si>
  <si>
    <t xml:space="preserve">Course Schedule</t>
  </si>
  <si>
    <t xml:space="preserve">Topological Sort, Cycle Detection</t>
  </si>
  <si>
    <t xml:space="preserve">Rotting Oranges</t>
  </si>
  <si>
    <t xml:space="preserve">Multi-source BFS</t>
  </si>
  <si>
    <t xml:space="preserve">Swiggy, Zomato (delivery)</t>
  </si>
  <si>
    <t xml:space="preserve">Network Delay Time</t>
  </si>
  <si>
    <t xml:space="preserve">Dijkstra</t>
  </si>
  <si>
    <t xml:space="preserve">Swiggy, Uber-style routing roles</t>
  </si>
  <si>
    <t xml:space="preserve">Word Ladder</t>
  </si>
  <si>
    <t xml:space="preserve">BFS (Shortest Path)</t>
  </si>
  <si>
    <t xml:space="preserve">Climbing Stairs</t>
  </si>
  <si>
    <t xml:space="preserve">1D DP</t>
  </si>
  <si>
    <t xml:space="preserve">House Robber</t>
  </si>
  <si>
    <t xml:space="preserve">Amazon, Google, Apple</t>
  </si>
  <si>
    <t xml:space="preserve">Coin Change</t>
  </si>
  <si>
    <t xml:space="preserve">Unbounded Knapsack</t>
  </si>
  <si>
    <t xml:space="preserve">Razorpay, Flipkart, CRED</t>
  </si>
  <si>
    <t xml:space="preserve">Microsoft, Goldman Sachs, Oracle</t>
  </si>
  <si>
    <t xml:space="preserve">Longest Increasing Subsequence</t>
  </si>
  <si>
    <t xml:space="preserve">1D DP / Binary Search</t>
  </si>
  <si>
    <t xml:space="preserve">Longest Common Subsequence</t>
  </si>
  <si>
    <t xml:space="preserve">2D DP</t>
  </si>
  <si>
    <t xml:space="preserve">Word Break</t>
  </si>
  <si>
    <t xml:space="preserve">1D DP + Hash Set</t>
  </si>
  <si>
    <t xml:space="preserve">Partition Equal Subset Sum</t>
  </si>
  <si>
    <t xml:space="preserve">0/1 Knapsack</t>
  </si>
  <si>
    <t xml:space="preserve">Edit Distance</t>
  </si>
  <si>
    <t xml:space="preserve">Merge Intervals</t>
  </si>
  <si>
    <t xml:space="preserve">Sorting + Merge</t>
  </si>
  <si>
    <t xml:space="preserve">Google, Meta, Amazon</t>
  </si>
  <si>
    <t xml:space="preserve">Razorpay, Swiggy, Flipkart</t>
  </si>
  <si>
    <t xml:space="preserve">Microsoft, Goldman Sachs, Adobe</t>
  </si>
  <si>
    <t xml:space="preserve">Meeting Rooms II</t>
  </si>
  <si>
    <t xml:space="preserve">Sort + Min Heap</t>
  </si>
  <si>
    <t xml:space="preserve">Swiggy, Zomato</t>
  </si>
  <si>
    <t xml:space="preserve">Jump Game</t>
  </si>
  <si>
    <t xml:space="preserve">Single Number</t>
  </si>
  <si>
    <t xml:space="preserve">XOR</t>
  </si>
  <si>
    <t xml:space="preserve">Number of 1 Bits</t>
  </si>
  <si>
    <t xml:space="preserve">Bit Counting</t>
  </si>
  <si>
    <t xml:space="preserve">Apple, Amazon</t>
  </si>
  <si>
    <t xml:space="preserve">Zerodha, Paytm</t>
  </si>
  <si>
    <t xml:space="preserve">TCS, Cognizant, Microsoft</t>
  </si>
  <si>
    <t xml:space="preserve">Key Concepts to Cover</t>
  </si>
  <si>
    <t xml:space="preserve">Level</t>
  </si>
  <si>
    <t xml:space="preserve">Design a URL Shortener</t>
  </si>
  <si>
    <t xml:space="preserve">Hashing / base62, DB choice, caching, scaling reads</t>
  </si>
  <si>
    <t xml:space="preserve">Entry to Mid</t>
  </si>
  <si>
    <t xml:space="preserve">Razorpay, Zomato, Swiggy</t>
  </si>
  <si>
    <t xml:space="preserve">Design a Rate Limiter</t>
  </si>
  <si>
    <t xml:space="preserve">Token bucket, sliding window, Redis, distributed limits</t>
  </si>
  <si>
    <t xml:space="preserve">Mid</t>
  </si>
  <si>
    <t xml:space="preserve">Razorpay, CRED, PhonePe</t>
  </si>
  <si>
    <t xml:space="preserve">Design a Notification System</t>
  </si>
  <si>
    <t xml:space="preserve">Queues, retries, priority, idempotency, fan-out</t>
  </si>
  <si>
    <t xml:space="preserve">Swiggy, Zomato, Flipkart</t>
  </si>
  <si>
    <t xml:space="preserve">Design Twitter / Instagram Feed</t>
  </si>
  <si>
    <t xml:space="preserve">Fan-out on write vs read, timelines, caching, sharding</t>
  </si>
  <si>
    <t xml:space="preserve">Mid to Senior</t>
  </si>
  <si>
    <t xml:space="preserve">Meesho, ShareChat</t>
  </si>
  <si>
    <t xml:space="preserve">Design WhatsApp / Chat System</t>
  </si>
  <si>
    <t xml:space="preserve">WebSockets, message queues, delivery receipts, storage</t>
  </si>
  <si>
    <t xml:space="preserve">Meta, Google, Apple</t>
  </si>
  <si>
    <t xml:space="preserve">Swiggy, Flipkart</t>
  </si>
  <si>
    <t xml:space="preserve">Design YouTube / Netflix</t>
  </si>
  <si>
    <t xml:space="preserve">CDN, video encoding, storage, recommendations</t>
  </si>
  <si>
    <t xml:space="preserve">Senior</t>
  </si>
  <si>
    <t xml:space="preserve">Netflix, Google, Amazon</t>
  </si>
  <si>
    <t xml:space="preserve">Hotstar, Zomato</t>
  </si>
  <si>
    <t xml:space="preserve">Design Google Drive / Dropbox</t>
  </si>
  <si>
    <t xml:space="preserve">Chunking, sync, metadata DB, consistency</t>
  </si>
  <si>
    <t xml:space="preserve">Razorpay, PhonePe</t>
  </si>
  <si>
    <t xml:space="preserve">Design a Food Delivery System</t>
  </si>
  <si>
    <t xml:space="preserve">Order flow, geo-search, matching, ETA, payments</t>
  </si>
  <si>
    <t xml:space="preserve">Walmart, Microsoft</t>
  </si>
  <si>
    <t xml:space="preserve">Design a Ride Sharing App</t>
  </si>
  <si>
    <t xml:space="preserve">Geo-indexing, driver matching, surge pricing, real-time tracking</t>
  </si>
  <si>
    <t xml:space="preserve">Ola, Rapido, Swiggy</t>
  </si>
  <si>
    <t xml:space="preserve">Design a Payment System / Wallet</t>
  </si>
  <si>
    <t xml:space="preserve">ACID, ledger, idempotency, reconciliation, fraud checks</t>
  </si>
  <si>
    <t xml:space="preserve">Razorpay, PhonePe, CRED, Paytm</t>
  </si>
  <si>
    <t xml:space="preserve">Design an E-commerce Platform</t>
  </si>
  <si>
    <t xml:space="preserve">Catalog, cart, inventory, orders, search, flash sales</t>
  </si>
  <si>
    <t xml:space="preserve">Walmart, Microsoft, Oracle</t>
  </si>
  <si>
    <t xml:space="preserve">Design a Search Autocomplete</t>
  </si>
  <si>
    <t xml:space="preserve">Trie, ranking, caching, top-k suggestions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</si>
</sst>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n">
        <f aca="false">COUNTA('DSA Tracker'!$C$2:$C$70)</f>
        <v>69</v>
      </c>
    </row>
    <row r="6" customFormat="false" ht="15" hidden="false" customHeight="false" outlineLevel="0" collapsed="false">
      <c r="A6" s="4" t="s">
        <v>4</v>
      </c>
      <c r="B6" s="4" t="n">
        <f aca="false">COUNTIF('DSA Tracker'!$I$2:$I$70,"Yes")</f>
        <v>0</v>
      </c>
    </row>
    <row r="7" customFormat="false" ht="15" hidden="false" customHeight="false" outlineLevel="0" collapsed="false">
      <c r="A7" s="4" t="s">
        <v>5</v>
      </c>
      <c r="B7" s="4" t="n">
        <f aca="false">COUNTIF('DSA Tracker'!$J$2:$J$70,"Yes")</f>
        <v>0</v>
      </c>
    </row>
    <row r="8" customFormat="false" ht="15" hidden="false" customHeight="false" outlineLevel="0" collapsed="false">
      <c r="A8" s="4" t="s">
        <v>6</v>
      </c>
      <c r="B8" s="5" t="n">
        <f aca="false">IF(B5=0,0,B6/B5)</f>
        <v>0</v>
      </c>
    </row>
    <row r="9" customFormat="false" ht="15" hidden="false" customHeight="false" outlineLevel="0" collapsed="false">
      <c r="A9" s="4" t="s">
        <v>7</v>
      </c>
      <c r="B9" s="5" t="n">
        <f aca="false">IF(B5=0,0,B7/B5)</f>
        <v>0</v>
      </c>
    </row>
    <row r="10" customFormat="false" ht="15" hidden="false" customHeight="false" outlineLevel="0" collapsed="false">
      <c r="A10" s="4" t="s">
        <v>8</v>
      </c>
      <c r="B10" s="4" t="n">
        <f aca="false">SUM('DSA Tracker'!$K$2:$K$70)</f>
        <v>0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6" t="s">
        <v>10</v>
      </c>
      <c r="B12" s="6" t="s">
        <v>11</v>
      </c>
      <c r="C12" s="6" t="s">
        <v>4</v>
      </c>
      <c r="D12" s="6" t="s">
        <v>12</v>
      </c>
      <c r="E12" s="6" t="s">
        <v>6</v>
      </c>
    </row>
    <row r="13" customFormat="false" ht="15" hidden="false" customHeight="false" outlineLevel="0" collapsed="false">
      <c r="A13" s="4" t="s">
        <v>13</v>
      </c>
      <c r="B13" s="4" t="n">
        <f aca="false">COUNTIF('DSA Tracker'!$B$2:$B$70,A13)</f>
        <v>9</v>
      </c>
      <c r="C13" s="4" t="n">
        <f aca="false">COUNTIFS('DSA Tracker'!$B$2:$B$70,A13,'DSA Tracker'!$I$2:$I$70,"Yes")</f>
        <v>0</v>
      </c>
      <c r="D13" s="4" t="n">
        <f aca="false">COUNTIFS('DSA Tracker'!$B$2:$B$70,A13,'DSA Tracker'!$J$2:$J$70,"Yes")</f>
        <v>0</v>
      </c>
      <c r="E13" s="7" t="n">
        <f aca="false">IF(B13=0,0,C13/B13)</f>
        <v>0</v>
      </c>
    </row>
    <row r="14" customFormat="false" ht="15" hidden="false" customHeight="false" outlineLevel="0" collapsed="false">
      <c r="A14" s="4" t="s">
        <v>14</v>
      </c>
      <c r="B14" s="4" t="n">
        <f aca="false">COUNTIF('DSA Tracker'!$B$2:$B$70,A14)</f>
        <v>4</v>
      </c>
      <c r="C14" s="4" t="n">
        <f aca="false">COUNTIFS('DSA Tracker'!$B$2:$B$70,A14,'DSA Tracker'!$I$2:$I$70,"Yes")</f>
        <v>0</v>
      </c>
      <c r="D14" s="4" t="n">
        <f aca="false">COUNTIFS('DSA Tracker'!$B$2:$B$70,A14,'DSA Tracker'!$J$2:$J$70,"Yes")</f>
        <v>0</v>
      </c>
      <c r="E14" s="7" t="n">
        <f aca="false">IF(B14=0,0,C14/B14)</f>
        <v>0</v>
      </c>
    </row>
    <row r="15" customFormat="false" ht="15" hidden="false" customHeight="false" outlineLevel="0" collapsed="false">
      <c r="A15" s="4" t="s">
        <v>15</v>
      </c>
      <c r="B15" s="4" t="n">
        <f aca="false">COUNTIF('DSA Tracker'!$B$2:$B$70,A15)</f>
        <v>4</v>
      </c>
      <c r="C15" s="4" t="n">
        <f aca="false">COUNTIFS('DSA Tracker'!$B$2:$B$70,A15,'DSA Tracker'!$I$2:$I$70,"Yes")</f>
        <v>0</v>
      </c>
      <c r="D15" s="4" t="n">
        <f aca="false">COUNTIFS('DSA Tracker'!$B$2:$B$70,A15,'DSA Tracker'!$J$2:$J$70,"Yes")</f>
        <v>0</v>
      </c>
      <c r="E15" s="7" t="n">
        <f aca="false">IF(B15=0,0,C15/B15)</f>
        <v>0</v>
      </c>
    </row>
    <row r="16" customFormat="false" ht="15" hidden="false" customHeight="false" outlineLevel="0" collapsed="false">
      <c r="A16" s="4" t="s">
        <v>16</v>
      </c>
      <c r="B16" s="4" t="n">
        <f aca="false">COUNTIF('DSA Tracker'!$B$2:$B$70,A16)</f>
        <v>4</v>
      </c>
      <c r="C16" s="4" t="n">
        <f aca="false">COUNTIFS('DSA Tracker'!$B$2:$B$70,A16,'DSA Tracker'!$I$2:$I$70,"Yes")</f>
        <v>0</v>
      </c>
      <c r="D16" s="4" t="n">
        <f aca="false">COUNTIFS('DSA Tracker'!$B$2:$B$70,A16,'DSA Tracker'!$J$2:$J$70,"Yes")</f>
        <v>0</v>
      </c>
      <c r="E16" s="7" t="n">
        <f aca="false">IF(B16=0,0,C16/B16)</f>
        <v>0</v>
      </c>
    </row>
    <row r="17" customFormat="false" ht="15" hidden="false" customHeight="false" outlineLevel="0" collapsed="false">
      <c r="A17" s="4" t="s">
        <v>17</v>
      </c>
      <c r="B17" s="4" t="n">
        <f aca="false">COUNTIF('DSA Tracker'!$B$2:$B$70,A17)</f>
        <v>5</v>
      </c>
      <c r="C17" s="4" t="n">
        <f aca="false">COUNTIFS('DSA Tracker'!$B$2:$B$70,A17,'DSA Tracker'!$I$2:$I$70,"Yes")</f>
        <v>0</v>
      </c>
      <c r="D17" s="4" t="n">
        <f aca="false">COUNTIFS('DSA Tracker'!$B$2:$B$70,A17,'DSA Tracker'!$J$2:$J$70,"Yes")</f>
        <v>0</v>
      </c>
      <c r="E17" s="7" t="n">
        <f aca="false">IF(B17=0,0,C17/B17)</f>
        <v>0</v>
      </c>
    </row>
    <row r="18" customFormat="false" ht="15" hidden="false" customHeight="false" outlineLevel="0" collapsed="false">
      <c r="A18" s="4" t="s">
        <v>18</v>
      </c>
      <c r="B18" s="4" t="n">
        <f aca="false">COUNTIF('DSA Tracker'!$B$2:$B$70,A18)</f>
        <v>6</v>
      </c>
      <c r="C18" s="4" t="n">
        <f aca="false">COUNTIFS('DSA Tracker'!$B$2:$B$70,A18,'DSA Tracker'!$I$2:$I$70,"Yes")</f>
        <v>0</v>
      </c>
      <c r="D18" s="4" t="n">
        <f aca="false">COUNTIFS('DSA Tracker'!$B$2:$B$70,A18,'DSA Tracker'!$J$2:$J$70,"Yes")</f>
        <v>0</v>
      </c>
      <c r="E18" s="7" t="n">
        <f aca="false">IF(B18=0,0,C18/B18)</f>
        <v>0</v>
      </c>
    </row>
    <row r="19" customFormat="false" ht="15" hidden="false" customHeight="false" outlineLevel="0" collapsed="false">
      <c r="A19" s="4" t="s">
        <v>19</v>
      </c>
      <c r="B19" s="4" t="n">
        <f aca="false">COUNTIF('DSA Tracker'!$B$2:$B$70,A19)</f>
        <v>7</v>
      </c>
      <c r="C19" s="4" t="n">
        <f aca="false">COUNTIFS('DSA Tracker'!$B$2:$B$70,A19,'DSA Tracker'!$I$2:$I$70,"Yes")</f>
        <v>0</v>
      </c>
      <c r="D19" s="4" t="n">
        <f aca="false">COUNTIFS('DSA Tracker'!$B$2:$B$70,A19,'DSA Tracker'!$J$2:$J$70,"Yes")</f>
        <v>0</v>
      </c>
      <c r="E19" s="7" t="n">
        <f aca="false">IF(B19=0,0,C19/B19)</f>
        <v>0</v>
      </c>
    </row>
    <row r="20" customFormat="false" ht="15" hidden="false" customHeight="false" outlineLevel="0" collapsed="false">
      <c r="A20" s="4" t="s">
        <v>20</v>
      </c>
      <c r="B20" s="4" t="n">
        <f aca="false">COUNTIF('DSA Tracker'!$B$2:$B$70,A20)</f>
        <v>4</v>
      </c>
      <c r="C20" s="4" t="n">
        <f aca="false">COUNTIFS('DSA Tracker'!$B$2:$B$70,A20,'DSA Tracker'!$I$2:$I$70,"Yes")</f>
        <v>0</v>
      </c>
      <c r="D20" s="4" t="n">
        <f aca="false">COUNTIFS('DSA Tracker'!$B$2:$B$70,A20,'DSA Tracker'!$J$2:$J$70,"Yes")</f>
        <v>0</v>
      </c>
      <c r="E20" s="7" t="n">
        <f aca="false">IF(B20=0,0,C20/B20)</f>
        <v>0</v>
      </c>
    </row>
    <row r="21" customFormat="false" ht="15" hidden="false" customHeight="false" outlineLevel="0" collapsed="false">
      <c r="A21" s="4" t="s">
        <v>21</v>
      </c>
      <c r="B21" s="4" t="n">
        <f aca="false">COUNTIF('DSA Tracker'!$B$2:$B$70,A21)</f>
        <v>5</v>
      </c>
      <c r="C21" s="4" t="n">
        <f aca="false">COUNTIFS('DSA Tracker'!$B$2:$B$70,A21,'DSA Tracker'!$I$2:$I$70,"Yes")</f>
        <v>0</v>
      </c>
      <c r="D21" s="4" t="n">
        <f aca="false">COUNTIFS('DSA Tracker'!$B$2:$B$70,A21,'DSA Tracker'!$J$2:$J$70,"Yes")</f>
        <v>0</v>
      </c>
      <c r="E21" s="7" t="n">
        <f aca="false">IF(B21=0,0,C21/B21)</f>
        <v>0</v>
      </c>
    </row>
    <row r="22" customFormat="false" ht="15" hidden="false" customHeight="false" outlineLevel="0" collapsed="false">
      <c r="A22" s="4" t="s">
        <v>22</v>
      </c>
      <c r="B22" s="4" t="n">
        <f aca="false">COUNTIF('DSA Tracker'!$B$2:$B$70,A22)</f>
        <v>2</v>
      </c>
      <c r="C22" s="4" t="n">
        <f aca="false">COUNTIFS('DSA Tracker'!$B$2:$B$70,A22,'DSA Tracker'!$I$2:$I$70,"Yes")</f>
        <v>0</v>
      </c>
      <c r="D22" s="4" t="n">
        <f aca="false">COUNTIFS('DSA Tracker'!$B$2:$B$70,A22,'DSA Tracker'!$J$2:$J$70,"Yes")</f>
        <v>0</v>
      </c>
      <c r="E22" s="7" t="n">
        <f aca="false">IF(B22=0,0,C22/B22)</f>
        <v>0</v>
      </c>
    </row>
    <row r="23" customFormat="false" ht="15" hidden="false" customHeight="false" outlineLevel="0" collapsed="false">
      <c r="A23" s="4" t="s">
        <v>23</v>
      </c>
      <c r="B23" s="4" t="n">
        <f aca="false">COUNTIF('DSA Tracker'!$B$2:$B$70,A23)</f>
        <v>6</v>
      </c>
      <c r="C23" s="4" t="n">
        <f aca="false">COUNTIFS('DSA Tracker'!$B$2:$B$70,A23,'DSA Tracker'!$I$2:$I$70,"Yes")</f>
        <v>0</v>
      </c>
      <c r="D23" s="4" t="n">
        <f aca="false">COUNTIFS('DSA Tracker'!$B$2:$B$70,A23,'DSA Tracker'!$J$2:$J$70,"Yes")</f>
        <v>0</v>
      </c>
      <c r="E23" s="7" t="n">
        <f aca="false">IF(B23=0,0,C23/B23)</f>
        <v>0</v>
      </c>
    </row>
    <row r="24" customFormat="false" ht="15" hidden="false" customHeight="false" outlineLevel="0" collapsed="false">
      <c r="A24" s="4" t="s">
        <v>24</v>
      </c>
      <c r="B24" s="4" t="n">
        <f aca="false">COUNTIF('DSA Tracker'!$B$2:$B$70,A24)</f>
        <v>8</v>
      </c>
      <c r="C24" s="4" t="n">
        <f aca="false">COUNTIFS('DSA Tracker'!$B$2:$B$70,A24,'DSA Tracker'!$I$2:$I$70,"Yes")</f>
        <v>0</v>
      </c>
      <c r="D24" s="4" t="n">
        <f aca="false">COUNTIFS('DSA Tracker'!$B$2:$B$70,A24,'DSA Tracker'!$J$2:$J$70,"Yes")</f>
        <v>0</v>
      </c>
      <c r="E24" s="7" t="n">
        <f aca="false">IF(B24=0,0,C24/B24)</f>
        <v>0</v>
      </c>
    </row>
    <row r="25" customFormat="false" ht="15" hidden="false" customHeight="false" outlineLevel="0" collapsed="false">
      <c r="A25" s="4" t="s">
        <v>25</v>
      </c>
      <c r="B25" s="4" t="n">
        <f aca="false">COUNTIF('DSA Tracker'!$B$2:$B$70,A25)</f>
        <v>2</v>
      </c>
      <c r="C25" s="4" t="n">
        <f aca="false">COUNTIFS('DSA Tracker'!$B$2:$B$70,A25,'DSA Tracker'!$I$2:$I$70,"Yes")</f>
        <v>0</v>
      </c>
      <c r="D25" s="4" t="n">
        <f aca="false">COUNTIFS('DSA Tracker'!$B$2:$B$70,A25,'DSA Tracker'!$J$2:$J$70,"Yes")</f>
        <v>0</v>
      </c>
      <c r="E25" s="7" t="n">
        <f aca="false">IF(B25=0,0,C25/B25)</f>
        <v>0</v>
      </c>
    </row>
    <row r="26" customFormat="false" ht="15" hidden="false" customHeight="false" outlineLevel="0" collapsed="false">
      <c r="A26" s="4" t="s">
        <v>26</v>
      </c>
      <c r="B26" s="4" t="n">
        <f aca="false">COUNTIF('DSA Tracker'!$B$2:$B$70,A26)</f>
        <v>1</v>
      </c>
      <c r="C26" s="4" t="n">
        <f aca="false">COUNTIFS('DSA Tracker'!$B$2:$B$70,A26,'DSA Tracker'!$I$2:$I$70,"Yes")</f>
        <v>0</v>
      </c>
      <c r="D26" s="4" t="n">
        <f aca="false">COUNTIFS('DSA Tracker'!$B$2:$B$70,A26,'DSA Tracker'!$J$2:$J$70,"Yes")</f>
        <v>0</v>
      </c>
      <c r="E26" s="7" t="n">
        <f aca="false">IF(B26=0,0,C26/B26)</f>
        <v>0</v>
      </c>
    </row>
    <row r="27" customFormat="false" ht="15" hidden="false" customHeight="false" outlineLevel="0" collapsed="false">
      <c r="A27" s="4" t="s">
        <v>27</v>
      </c>
      <c r="B27" s="4" t="n">
        <f aca="false">COUNTIF('DSA Tracker'!$B$2:$B$70,A27)</f>
        <v>2</v>
      </c>
      <c r="C27" s="4" t="n">
        <f aca="false">COUNTIFS('DSA Tracker'!$B$2:$B$70,A27,'DSA Tracker'!$I$2:$I$70,"Yes")</f>
        <v>0</v>
      </c>
      <c r="D27" s="4" t="n">
        <f aca="false">COUNTIFS('DSA Tracker'!$B$2:$B$70,A27,'DSA Tracker'!$J$2:$J$70,"Yes")</f>
        <v>0</v>
      </c>
      <c r="E27" s="7" t="n">
        <f aca="false">IF(B27=0,0,C27/B27)</f>
        <v>0</v>
      </c>
    </row>
    <row r="28" customFormat="false" ht="15" hidden="false" customHeight="false" outlineLevel="0" collapsed="false">
      <c r="A28" s="8" t="s">
        <v>11</v>
      </c>
      <c r="B28" s="8" t="n">
        <f aca="false">SUM(B13:B27)</f>
        <v>69</v>
      </c>
      <c r="C28" s="8" t="n">
        <f aca="false">SUM(C13:C27)</f>
        <v>0</v>
      </c>
      <c r="D28" s="8" t="n">
        <f aca="false">SUM(D13:D27)</f>
        <v>0</v>
      </c>
      <c r="E28" s="9" t="n">
        <f aca="false">IF(B28=0,0,C28/B28)</f>
        <v>0</v>
      </c>
    </row>
    <row r="30" customFormat="false" ht="15" hidden="false" customHeight="false" outlineLevel="0" collapsed="false">
      <c r="A30" s="3" t="s">
        <v>28</v>
      </c>
    </row>
    <row r="31" customFormat="false" ht="15" hidden="false" customHeight="false" outlineLevel="0" collapsed="false">
      <c r="A31" s="6" t="s">
        <v>29</v>
      </c>
      <c r="B31" s="6" t="s">
        <v>11</v>
      </c>
      <c r="C31" s="6" t="s">
        <v>4</v>
      </c>
      <c r="D31" s="6" t="s">
        <v>12</v>
      </c>
      <c r="E31" s="6" t="s">
        <v>6</v>
      </c>
    </row>
    <row r="32" customFormat="false" ht="15" hidden="false" customHeight="false" outlineLevel="0" collapsed="false">
      <c r="A32" s="10" t="s">
        <v>30</v>
      </c>
      <c r="B32" s="4" t="n">
        <f aca="false">COUNTIF('DSA Tracker'!$E$2:$E$70,A32)</f>
        <v>16</v>
      </c>
      <c r="C32" s="4" t="n">
        <f aca="false">COUNTIFS('DSA Tracker'!$E$2:$E$70,A32,'DSA Tracker'!$I$2:$I$70,"Yes")</f>
        <v>0</v>
      </c>
      <c r="D32" s="4" t="n">
        <f aca="false">COUNTIFS('DSA Tracker'!$E$2:$E$70,A32,'DSA Tracker'!$J$2:$J$70,"Yes")</f>
        <v>0</v>
      </c>
      <c r="E32" s="7" t="n">
        <f aca="false">IF(B32=0,0,C32/B32)</f>
        <v>0</v>
      </c>
    </row>
    <row r="33" customFormat="false" ht="15" hidden="false" customHeight="false" outlineLevel="0" collapsed="false">
      <c r="A33" s="11" t="s">
        <v>31</v>
      </c>
      <c r="B33" s="4" t="n">
        <f aca="false">COUNTIF('DSA Tracker'!$E$2:$E$70,A33)</f>
        <v>40</v>
      </c>
      <c r="C33" s="4" t="n">
        <f aca="false">COUNTIFS('DSA Tracker'!$E$2:$E$70,A33,'DSA Tracker'!$I$2:$I$70,"Yes")</f>
        <v>0</v>
      </c>
      <c r="D33" s="4" t="n">
        <f aca="false">COUNTIFS('DSA Tracker'!$E$2:$E$70,A33,'DSA Tracker'!$J$2:$J$70,"Yes")</f>
        <v>0</v>
      </c>
      <c r="E33" s="7" t="n">
        <f aca="false">IF(B33=0,0,C33/B33)</f>
        <v>0</v>
      </c>
    </row>
    <row r="34" customFormat="false" ht="15" hidden="false" customHeight="false" outlineLevel="0" collapsed="false">
      <c r="A34" s="12" t="s">
        <v>32</v>
      </c>
      <c r="B34" s="4" t="n">
        <f aca="false">COUNTIF('DSA Tracker'!$E$2:$E$70,A34)</f>
        <v>13</v>
      </c>
      <c r="C34" s="4" t="n">
        <f aca="false">COUNTIFS('DSA Tracker'!$E$2:$E$70,A34,'DSA Tracker'!$I$2:$I$70,"Yes")</f>
        <v>0</v>
      </c>
      <c r="D34" s="4" t="n">
        <f aca="false">COUNTIFS('DSA Tracker'!$E$2:$E$70,A34,'DSA Tracker'!$J$2:$J$70,"Yes")</f>
        <v>0</v>
      </c>
      <c r="E34" s="7" t="n">
        <f aca="false">IF(B34=0,0,C34/B34)</f>
        <v>0</v>
      </c>
    </row>
    <row r="37" customFormat="false" ht="15" hidden="false" customHeight="false" outlineLevel="0" collapsed="false">
      <c r="A37" s="3" t="s">
        <v>33</v>
      </c>
    </row>
    <row r="38" customFormat="false" ht="15" hidden="false" customHeight="false" outlineLevel="0" collapsed="false">
      <c r="A38" s="13" t="s">
        <v>34</v>
      </c>
    </row>
    <row r="39" customFormat="false" ht="15" hidden="false" customHeight="false" outlineLevel="0" collapsed="false">
      <c r="A39" s="13" t="s">
        <v>35</v>
      </c>
    </row>
    <row r="40" customFormat="false" ht="15" hidden="false" customHeight="false" outlineLevel="0" collapsed="false">
      <c r="A40" s="13" t="s">
        <v>36</v>
      </c>
    </row>
    <row r="41" customFormat="false" ht="15" hidden="false" customHeight="false" outlineLevel="0" collapsed="false">
      <c r="A41" s="13" t="s">
        <v>37</v>
      </c>
    </row>
    <row r="42" customFormat="false" ht="15" hidden="false" customHeight="false" outlineLevel="0" collapsed="false">
      <c r="A42" s="1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7" min="6" style="0" width="3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4" t="s">
        <v>39</v>
      </c>
      <c r="B1" s="14" t="s">
        <v>10</v>
      </c>
      <c r="C1" s="14" t="s">
        <v>40</v>
      </c>
      <c r="D1" s="14" t="s">
        <v>41</v>
      </c>
      <c r="E1" s="14" t="s">
        <v>29</v>
      </c>
      <c r="F1" s="14" t="s">
        <v>42</v>
      </c>
      <c r="G1" s="14" t="s">
        <v>43</v>
      </c>
      <c r="H1" s="14" t="s">
        <v>44</v>
      </c>
      <c r="I1" s="14" t="s">
        <v>4</v>
      </c>
      <c r="J1" s="14" t="s">
        <v>45</v>
      </c>
      <c r="K1" s="14" t="s">
        <v>46</v>
      </c>
      <c r="L1" s="14" t="s">
        <v>47</v>
      </c>
      <c r="M1" s="14" t="s">
        <v>48</v>
      </c>
    </row>
    <row r="2" customFormat="false" ht="15" hidden="false" customHeight="false" outlineLevel="0" collapsed="false">
      <c r="A2" s="15" t="n">
        <v>1</v>
      </c>
      <c r="B2" s="16" t="s">
        <v>13</v>
      </c>
      <c r="C2" s="17" t="s">
        <v>49</v>
      </c>
      <c r="D2" s="17" t="s">
        <v>50</v>
      </c>
      <c r="E2" s="18" t="s">
        <v>30</v>
      </c>
      <c r="F2" s="17" t="s">
        <v>51</v>
      </c>
      <c r="G2" s="17" t="s">
        <v>52</v>
      </c>
      <c r="H2" s="17" t="s">
        <v>53</v>
      </c>
      <c r="I2" s="15" t="s">
        <v>54</v>
      </c>
      <c r="J2" s="15"/>
      <c r="K2" s="15"/>
      <c r="L2" s="19"/>
      <c r="M2" s="17"/>
    </row>
    <row r="3" customFormat="false" ht="15" hidden="false" customHeight="false" outlineLevel="0" collapsed="false">
      <c r="A3" s="15" t="n">
        <v>2</v>
      </c>
      <c r="B3" s="16" t="s">
        <v>13</v>
      </c>
      <c r="C3" s="17" t="s">
        <v>55</v>
      </c>
      <c r="D3" s="17" t="s">
        <v>56</v>
      </c>
      <c r="E3" s="18" t="s">
        <v>30</v>
      </c>
      <c r="F3" s="17" t="s">
        <v>57</v>
      </c>
      <c r="G3" s="17" t="s">
        <v>58</v>
      </c>
      <c r="H3" s="17" t="s">
        <v>59</v>
      </c>
      <c r="I3" s="15" t="s">
        <v>54</v>
      </c>
      <c r="J3" s="15"/>
      <c r="K3" s="15"/>
      <c r="L3" s="19"/>
      <c r="M3" s="17"/>
    </row>
    <row r="4" customFormat="false" ht="15" hidden="false" customHeight="false" outlineLevel="0" collapsed="false">
      <c r="A4" s="15" t="n">
        <v>3</v>
      </c>
      <c r="B4" s="16" t="s">
        <v>13</v>
      </c>
      <c r="C4" s="17" t="s">
        <v>60</v>
      </c>
      <c r="D4" s="17" t="s">
        <v>61</v>
      </c>
      <c r="E4" s="18" t="s">
        <v>30</v>
      </c>
      <c r="F4" s="17" t="s">
        <v>62</v>
      </c>
      <c r="G4" s="17" t="s">
        <v>63</v>
      </c>
      <c r="H4" s="17" t="s">
        <v>64</v>
      </c>
      <c r="I4" s="15" t="s">
        <v>54</v>
      </c>
      <c r="J4" s="15"/>
      <c r="K4" s="15"/>
      <c r="L4" s="19"/>
      <c r="M4" s="17"/>
    </row>
    <row r="5" customFormat="false" ht="15" hidden="false" customHeight="false" outlineLevel="0" collapsed="false">
      <c r="A5" s="15" t="n">
        <v>4</v>
      </c>
      <c r="B5" s="16" t="s">
        <v>13</v>
      </c>
      <c r="C5" s="17" t="s">
        <v>65</v>
      </c>
      <c r="D5" s="17" t="s">
        <v>66</v>
      </c>
      <c r="E5" s="20" t="s">
        <v>31</v>
      </c>
      <c r="F5" s="17" t="s">
        <v>67</v>
      </c>
      <c r="G5" s="17" t="s">
        <v>68</v>
      </c>
      <c r="H5" s="17" t="s">
        <v>69</v>
      </c>
      <c r="I5" s="15" t="s">
        <v>54</v>
      </c>
      <c r="J5" s="15"/>
      <c r="K5" s="15"/>
      <c r="L5" s="19"/>
      <c r="M5" s="17"/>
    </row>
    <row r="6" customFormat="false" ht="15" hidden="false" customHeight="false" outlineLevel="0" collapsed="false">
      <c r="A6" s="15" t="n">
        <v>5</v>
      </c>
      <c r="B6" s="16" t="s">
        <v>13</v>
      </c>
      <c r="C6" s="17" t="s">
        <v>70</v>
      </c>
      <c r="D6" s="17" t="s">
        <v>71</v>
      </c>
      <c r="E6" s="20" t="s">
        <v>31</v>
      </c>
      <c r="F6" s="17" t="s">
        <v>72</v>
      </c>
      <c r="G6" s="17" t="s">
        <v>73</v>
      </c>
      <c r="H6" s="17" t="s">
        <v>74</v>
      </c>
      <c r="I6" s="15" t="s">
        <v>54</v>
      </c>
      <c r="J6" s="15"/>
      <c r="K6" s="15"/>
      <c r="L6" s="19"/>
      <c r="M6" s="17"/>
    </row>
    <row r="7" customFormat="false" ht="15" hidden="false" customHeight="false" outlineLevel="0" collapsed="false">
      <c r="A7" s="15" t="n">
        <v>6</v>
      </c>
      <c r="B7" s="16" t="s">
        <v>13</v>
      </c>
      <c r="C7" s="17" t="s">
        <v>75</v>
      </c>
      <c r="D7" s="17" t="s">
        <v>76</v>
      </c>
      <c r="E7" s="18" t="s">
        <v>30</v>
      </c>
      <c r="F7" s="17" t="s">
        <v>77</v>
      </c>
      <c r="G7" s="17" t="s">
        <v>78</v>
      </c>
      <c r="H7" s="17" t="s">
        <v>79</v>
      </c>
      <c r="I7" s="15" t="s">
        <v>54</v>
      </c>
      <c r="J7" s="15"/>
      <c r="K7" s="15"/>
      <c r="L7" s="19"/>
      <c r="M7" s="17"/>
    </row>
    <row r="8" customFormat="false" ht="15" hidden="false" customHeight="false" outlineLevel="0" collapsed="false">
      <c r="A8" s="15" t="n">
        <v>7</v>
      </c>
      <c r="B8" s="16" t="s">
        <v>13</v>
      </c>
      <c r="C8" s="17" t="s">
        <v>80</v>
      </c>
      <c r="D8" s="17" t="s">
        <v>56</v>
      </c>
      <c r="E8" s="20" t="s">
        <v>31</v>
      </c>
      <c r="F8" s="17" t="s">
        <v>81</v>
      </c>
      <c r="G8" s="17" t="s">
        <v>82</v>
      </c>
      <c r="H8" s="17" t="s">
        <v>83</v>
      </c>
      <c r="I8" s="15" t="s">
        <v>54</v>
      </c>
      <c r="J8" s="15"/>
      <c r="K8" s="15"/>
      <c r="L8" s="19"/>
      <c r="M8" s="17"/>
    </row>
    <row r="9" customFormat="false" ht="15" hidden="false" customHeight="false" outlineLevel="0" collapsed="false">
      <c r="A9" s="15" t="n">
        <v>8</v>
      </c>
      <c r="B9" s="16" t="s">
        <v>13</v>
      </c>
      <c r="C9" s="17" t="s">
        <v>84</v>
      </c>
      <c r="D9" s="17" t="s">
        <v>85</v>
      </c>
      <c r="E9" s="18" t="s">
        <v>30</v>
      </c>
      <c r="F9" s="17" t="s">
        <v>86</v>
      </c>
      <c r="G9" s="17" t="s">
        <v>87</v>
      </c>
      <c r="H9" s="17" t="s">
        <v>88</v>
      </c>
      <c r="I9" s="15" t="s">
        <v>54</v>
      </c>
      <c r="J9" s="15"/>
      <c r="K9" s="15"/>
      <c r="L9" s="19"/>
      <c r="M9" s="17"/>
    </row>
    <row r="10" customFormat="false" ht="15" hidden="false" customHeight="false" outlineLevel="0" collapsed="false">
      <c r="A10" s="15" t="n">
        <v>9</v>
      </c>
      <c r="B10" s="16" t="s">
        <v>13</v>
      </c>
      <c r="C10" s="17" t="s">
        <v>89</v>
      </c>
      <c r="D10" s="17" t="s">
        <v>90</v>
      </c>
      <c r="E10" s="20" t="s">
        <v>31</v>
      </c>
      <c r="F10" s="17" t="s">
        <v>86</v>
      </c>
      <c r="G10" s="17" t="s">
        <v>91</v>
      </c>
      <c r="H10" s="17" t="s">
        <v>92</v>
      </c>
      <c r="I10" s="15" t="s">
        <v>54</v>
      </c>
      <c r="J10" s="15"/>
      <c r="K10" s="15"/>
      <c r="L10" s="19"/>
      <c r="M10" s="17"/>
    </row>
    <row r="11" customFormat="false" ht="15" hidden="false" customHeight="false" outlineLevel="0" collapsed="false">
      <c r="A11" s="15" t="n">
        <v>10</v>
      </c>
      <c r="B11" s="16" t="s">
        <v>14</v>
      </c>
      <c r="C11" s="17" t="s">
        <v>93</v>
      </c>
      <c r="D11" s="17" t="s">
        <v>14</v>
      </c>
      <c r="E11" s="18" t="s">
        <v>30</v>
      </c>
      <c r="F11" s="17" t="s">
        <v>86</v>
      </c>
      <c r="G11" s="17" t="s">
        <v>94</v>
      </c>
      <c r="H11" s="17" t="s">
        <v>95</v>
      </c>
      <c r="I11" s="15" t="s">
        <v>54</v>
      </c>
      <c r="J11" s="15"/>
      <c r="K11" s="15"/>
      <c r="L11" s="19"/>
      <c r="M11" s="17"/>
    </row>
    <row r="12" customFormat="false" ht="15" hidden="false" customHeight="false" outlineLevel="0" collapsed="false">
      <c r="A12" s="15" t="n">
        <v>11</v>
      </c>
      <c r="B12" s="16" t="s">
        <v>14</v>
      </c>
      <c r="C12" s="17" t="s">
        <v>96</v>
      </c>
      <c r="D12" s="17" t="s">
        <v>97</v>
      </c>
      <c r="E12" s="20" t="s">
        <v>31</v>
      </c>
      <c r="F12" s="17" t="s">
        <v>98</v>
      </c>
      <c r="G12" s="17" t="s">
        <v>99</v>
      </c>
      <c r="H12" s="17" t="s">
        <v>69</v>
      </c>
      <c r="I12" s="15" t="s">
        <v>54</v>
      </c>
      <c r="J12" s="15"/>
      <c r="K12" s="15"/>
      <c r="L12" s="19"/>
      <c r="M12" s="17"/>
    </row>
    <row r="13" customFormat="false" ht="15" hidden="false" customHeight="false" outlineLevel="0" collapsed="false">
      <c r="A13" s="15" t="n">
        <v>12</v>
      </c>
      <c r="B13" s="16" t="s">
        <v>14</v>
      </c>
      <c r="C13" s="17" t="s">
        <v>100</v>
      </c>
      <c r="D13" s="17" t="s">
        <v>101</v>
      </c>
      <c r="E13" s="20" t="s">
        <v>31</v>
      </c>
      <c r="F13" s="17" t="s">
        <v>67</v>
      </c>
      <c r="G13" s="17" t="s">
        <v>68</v>
      </c>
      <c r="H13" s="17" t="s">
        <v>74</v>
      </c>
      <c r="I13" s="15" t="s">
        <v>54</v>
      </c>
      <c r="J13" s="15"/>
      <c r="K13" s="15"/>
      <c r="L13" s="19"/>
      <c r="M13" s="17"/>
    </row>
    <row r="14" customFormat="false" ht="15" hidden="false" customHeight="false" outlineLevel="0" collapsed="false">
      <c r="A14" s="15" t="n">
        <v>13</v>
      </c>
      <c r="B14" s="16" t="s">
        <v>14</v>
      </c>
      <c r="C14" s="17" t="s">
        <v>102</v>
      </c>
      <c r="D14" s="17" t="s">
        <v>103</v>
      </c>
      <c r="E14" s="21" t="s">
        <v>32</v>
      </c>
      <c r="F14" s="17" t="s">
        <v>104</v>
      </c>
      <c r="G14" s="17" t="s">
        <v>105</v>
      </c>
      <c r="H14" s="17" t="s">
        <v>106</v>
      </c>
      <c r="I14" s="15" t="s">
        <v>54</v>
      </c>
      <c r="J14" s="15"/>
      <c r="K14" s="15"/>
      <c r="L14" s="19"/>
      <c r="M14" s="17"/>
    </row>
    <row r="15" customFormat="false" ht="15" hidden="false" customHeight="false" outlineLevel="0" collapsed="false">
      <c r="A15" s="15" t="n">
        <v>14</v>
      </c>
      <c r="B15" s="16" t="s">
        <v>15</v>
      </c>
      <c r="C15" s="17" t="s">
        <v>107</v>
      </c>
      <c r="D15" s="17" t="s">
        <v>108</v>
      </c>
      <c r="E15" s="20" t="s">
        <v>31</v>
      </c>
      <c r="F15" s="17" t="s">
        <v>67</v>
      </c>
      <c r="G15" s="17" t="s">
        <v>52</v>
      </c>
      <c r="H15" s="17" t="s">
        <v>109</v>
      </c>
      <c r="I15" s="15" t="s">
        <v>54</v>
      </c>
      <c r="J15" s="15"/>
      <c r="K15" s="15"/>
      <c r="L15" s="19"/>
      <c r="M15" s="17"/>
    </row>
    <row r="16" customFormat="false" ht="15" hidden="false" customHeight="false" outlineLevel="0" collapsed="false">
      <c r="A16" s="15" t="n">
        <v>15</v>
      </c>
      <c r="B16" s="16" t="s">
        <v>15</v>
      </c>
      <c r="C16" s="17" t="s">
        <v>110</v>
      </c>
      <c r="D16" s="17" t="s">
        <v>111</v>
      </c>
      <c r="E16" s="20" t="s">
        <v>31</v>
      </c>
      <c r="F16" s="17" t="s">
        <v>112</v>
      </c>
      <c r="G16" s="17" t="s">
        <v>113</v>
      </c>
      <c r="H16" s="17" t="s">
        <v>114</v>
      </c>
      <c r="I16" s="15" t="s">
        <v>54</v>
      </c>
      <c r="J16" s="15"/>
      <c r="K16" s="15"/>
      <c r="L16" s="19"/>
      <c r="M16" s="17"/>
    </row>
    <row r="17" customFormat="false" ht="15" hidden="false" customHeight="false" outlineLevel="0" collapsed="false">
      <c r="A17" s="15" t="n">
        <v>16</v>
      </c>
      <c r="B17" s="16" t="s">
        <v>15</v>
      </c>
      <c r="C17" s="17" t="s">
        <v>115</v>
      </c>
      <c r="D17" s="17" t="s">
        <v>116</v>
      </c>
      <c r="E17" s="21" t="s">
        <v>32</v>
      </c>
      <c r="F17" s="17" t="s">
        <v>117</v>
      </c>
      <c r="G17" s="17" t="s">
        <v>99</v>
      </c>
      <c r="H17" s="17" t="s">
        <v>69</v>
      </c>
      <c r="I17" s="15" t="s">
        <v>54</v>
      </c>
      <c r="J17" s="15"/>
      <c r="K17" s="15"/>
      <c r="L17" s="19"/>
      <c r="M17" s="17"/>
    </row>
    <row r="18" customFormat="false" ht="15" hidden="false" customHeight="false" outlineLevel="0" collapsed="false">
      <c r="A18" s="15" t="n">
        <v>17</v>
      </c>
      <c r="B18" s="16" t="s">
        <v>15</v>
      </c>
      <c r="C18" s="17" t="s">
        <v>118</v>
      </c>
      <c r="D18" s="17" t="s">
        <v>119</v>
      </c>
      <c r="E18" s="21" t="s">
        <v>32</v>
      </c>
      <c r="F18" s="17" t="s">
        <v>112</v>
      </c>
      <c r="G18" s="17" t="s">
        <v>120</v>
      </c>
      <c r="H18" s="17" t="s">
        <v>121</v>
      </c>
      <c r="I18" s="15" t="s">
        <v>54</v>
      </c>
      <c r="J18" s="15"/>
      <c r="K18" s="15"/>
      <c r="L18" s="19"/>
      <c r="M18" s="17"/>
    </row>
    <row r="19" customFormat="false" ht="15" hidden="false" customHeight="false" outlineLevel="0" collapsed="false">
      <c r="A19" s="15" t="n">
        <v>18</v>
      </c>
      <c r="B19" s="16" t="s">
        <v>16</v>
      </c>
      <c r="C19" s="17" t="s">
        <v>122</v>
      </c>
      <c r="D19" s="17" t="s">
        <v>123</v>
      </c>
      <c r="E19" s="18" t="s">
        <v>30</v>
      </c>
      <c r="F19" s="17" t="s">
        <v>62</v>
      </c>
      <c r="G19" s="17" t="s">
        <v>124</v>
      </c>
      <c r="H19" s="17" t="s">
        <v>53</v>
      </c>
      <c r="I19" s="15" t="s">
        <v>54</v>
      </c>
      <c r="J19" s="15"/>
      <c r="K19" s="15"/>
      <c r="L19" s="19"/>
      <c r="M19" s="17"/>
    </row>
    <row r="20" customFormat="false" ht="15" hidden="false" customHeight="false" outlineLevel="0" collapsed="false">
      <c r="A20" s="15" t="n">
        <v>19</v>
      </c>
      <c r="B20" s="16" t="s">
        <v>16</v>
      </c>
      <c r="C20" s="17" t="s">
        <v>125</v>
      </c>
      <c r="D20" s="17" t="s">
        <v>126</v>
      </c>
      <c r="E20" s="20" t="s">
        <v>31</v>
      </c>
      <c r="F20" s="17" t="s">
        <v>127</v>
      </c>
      <c r="G20" s="17" t="s">
        <v>128</v>
      </c>
      <c r="H20" s="17" t="s">
        <v>83</v>
      </c>
      <c r="I20" s="15" t="s">
        <v>54</v>
      </c>
      <c r="J20" s="15"/>
      <c r="K20" s="15"/>
      <c r="L20" s="19"/>
      <c r="M20" s="17"/>
    </row>
    <row r="21" customFormat="false" ht="15" hidden="false" customHeight="false" outlineLevel="0" collapsed="false">
      <c r="A21" s="15" t="n">
        <v>20</v>
      </c>
      <c r="B21" s="16" t="s">
        <v>16</v>
      </c>
      <c r="C21" s="17" t="s">
        <v>129</v>
      </c>
      <c r="D21" s="17" t="s">
        <v>130</v>
      </c>
      <c r="E21" s="20" t="s">
        <v>31</v>
      </c>
      <c r="F21" s="17" t="s">
        <v>67</v>
      </c>
      <c r="G21" s="17" t="s">
        <v>131</v>
      </c>
      <c r="H21" s="17" t="s">
        <v>132</v>
      </c>
      <c r="I21" s="15" t="s">
        <v>54</v>
      </c>
      <c r="J21" s="15"/>
      <c r="K21" s="15"/>
      <c r="L21" s="19"/>
      <c r="M21" s="17"/>
    </row>
    <row r="22" customFormat="false" ht="15" hidden="false" customHeight="false" outlineLevel="0" collapsed="false">
      <c r="A22" s="15" t="n">
        <v>21</v>
      </c>
      <c r="B22" s="16" t="s">
        <v>16</v>
      </c>
      <c r="C22" s="17" t="s">
        <v>133</v>
      </c>
      <c r="D22" s="17" t="s">
        <v>130</v>
      </c>
      <c r="E22" s="21" t="s">
        <v>32</v>
      </c>
      <c r="F22" s="17" t="s">
        <v>112</v>
      </c>
      <c r="G22" s="17" t="s">
        <v>99</v>
      </c>
      <c r="H22" s="17" t="s">
        <v>69</v>
      </c>
      <c r="I22" s="15" t="s">
        <v>54</v>
      </c>
      <c r="J22" s="15"/>
      <c r="K22" s="15"/>
      <c r="L22" s="19"/>
      <c r="M22" s="17"/>
    </row>
    <row r="23" customFormat="false" ht="15" hidden="false" customHeight="false" outlineLevel="0" collapsed="false">
      <c r="A23" s="15" t="n">
        <v>22</v>
      </c>
      <c r="B23" s="16" t="s">
        <v>17</v>
      </c>
      <c r="C23" s="17" t="s">
        <v>17</v>
      </c>
      <c r="D23" s="17" t="s">
        <v>134</v>
      </c>
      <c r="E23" s="18" t="s">
        <v>30</v>
      </c>
      <c r="F23" s="17" t="s">
        <v>62</v>
      </c>
      <c r="G23" s="17" t="s">
        <v>63</v>
      </c>
      <c r="H23" s="17" t="s">
        <v>95</v>
      </c>
      <c r="I23" s="15" t="s">
        <v>54</v>
      </c>
      <c r="J23" s="15"/>
      <c r="K23" s="15"/>
      <c r="L23" s="19"/>
      <c r="M23" s="17"/>
    </row>
    <row r="24" customFormat="false" ht="15" hidden="false" customHeight="false" outlineLevel="0" collapsed="false">
      <c r="A24" s="15" t="n">
        <v>23</v>
      </c>
      <c r="B24" s="16" t="s">
        <v>17</v>
      </c>
      <c r="C24" s="17" t="s">
        <v>135</v>
      </c>
      <c r="D24" s="17" t="s">
        <v>136</v>
      </c>
      <c r="E24" s="20" t="s">
        <v>31</v>
      </c>
      <c r="F24" s="17" t="s">
        <v>137</v>
      </c>
      <c r="G24" s="17" t="s">
        <v>105</v>
      </c>
      <c r="H24" s="17" t="s">
        <v>138</v>
      </c>
      <c r="I24" s="15" t="s">
        <v>54</v>
      </c>
      <c r="J24" s="15"/>
      <c r="K24" s="15"/>
      <c r="L24" s="19"/>
      <c r="M24" s="17"/>
    </row>
    <row r="25" customFormat="false" ht="15" hidden="false" customHeight="false" outlineLevel="0" collapsed="false">
      <c r="A25" s="15" t="n">
        <v>24</v>
      </c>
      <c r="B25" s="16" t="s">
        <v>17</v>
      </c>
      <c r="C25" s="17" t="s">
        <v>139</v>
      </c>
      <c r="D25" s="17" t="s">
        <v>136</v>
      </c>
      <c r="E25" s="20" t="s">
        <v>31</v>
      </c>
      <c r="F25" s="17" t="s">
        <v>72</v>
      </c>
      <c r="G25" s="17" t="s">
        <v>58</v>
      </c>
      <c r="H25" s="17" t="s">
        <v>74</v>
      </c>
      <c r="I25" s="15" t="s">
        <v>54</v>
      </c>
      <c r="J25" s="15"/>
      <c r="K25" s="15"/>
      <c r="L25" s="19"/>
      <c r="M25" s="17"/>
    </row>
    <row r="26" customFormat="false" ht="15" hidden="false" customHeight="false" outlineLevel="0" collapsed="false">
      <c r="A26" s="15" t="n">
        <v>25</v>
      </c>
      <c r="B26" s="16" t="s">
        <v>17</v>
      </c>
      <c r="C26" s="17" t="s">
        <v>140</v>
      </c>
      <c r="D26" s="17" t="s">
        <v>141</v>
      </c>
      <c r="E26" s="20" t="s">
        <v>31</v>
      </c>
      <c r="F26" s="17" t="s">
        <v>142</v>
      </c>
      <c r="G26" s="17" t="s">
        <v>143</v>
      </c>
      <c r="H26" s="17" t="s">
        <v>144</v>
      </c>
      <c r="I26" s="15" t="s">
        <v>54</v>
      </c>
      <c r="J26" s="15"/>
      <c r="K26" s="15"/>
      <c r="L26" s="19"/>
      <c r="M26" s="17"/>
    </row>
    <row r="27" customFormat="false" ht="15" hidden="false" customHeight="false" outlineLevel="0" collapsed="false">
      <c r="A27" s="15" t="n">
        <v>26</v>
      </c>
      <c r="B27" s="16" t="s">
        <v>17</v>
      </c>
      <c r="C27" s="17" t="s">
        <v>145</v>
      </c>
      <c r="D27" s="17" t="s">
        <v>146</v>
      </c>
      <c r="E27" s="21" t="s">
        <v>32</v>
      </c>
      <c r="F27" s="17" t="s">
        <v>104</v>
      </c>
      <c r="G27" s="17" t="s">
        <v>99</v>
      </c>
      <c r="H27" s="17" t="s">
        <v>69</v>
      </c>
      <c r="I27" s="15" t="s">
        <v>54</v>
      </c>
      <c r="J27" s="15"/>
      <c r="K27" s="15"/>
      <c r="L27" s="19"/>
      <c r="M27" s="17"/>
    </row>
    <row r="28" customFormat="false" ht="15" hidden="false" customHeight="false" outlineLevel="0" collapsed="false">
      <c r="A28" s="15" t="n">
        <v>27</v>
      </c>
      <c r="B28" s="16" t="s">
        <v>18</v>
      </c>
      <c r="C28" s="17" t="s">
        <v>147</v>
      </c>
      <c r="D28" s="17" t="s">
        <v>148</v>
      </c>
      <c r="E28" s="18" t="s">
        <v>30</v>
      </c>
      <c r="F28" s="17" t="s">
        <v>72</v>
      </c>
      <c r="G28" s="17" t="s">
        <v>149</v>
      </c>
      <c r="H28" s="17" t="s">
        <v>150</v>
      </c>
      <c r="I28" s="15" t="s">
        <v>54</v>
      </c>
      <c r="J28" s="15"/>
      <c r="K28" s="15"/>
      <c r="L28" s="19"/>
      <c r="M28" s="17"/>
    </row>
    <row r="29" customFormat="false" ht="15" hidden="false" customHeight="false" outlineLevel="0" collapsed="false">
      <c r="A29" s="15" t="n">
        <v>28</v>
      </c>
      <c r="B29" s="16" t="s">
        <v>18</v>
      </c>
      <c r="C29" s="17" t="s">
        <v>151</v>
      </c>
      <c r="D29" s="17" t="s">
        <v>152</v>
      </c>
      <c r="E29" s="18" t="s">
        <v>30</v>
      </c>
      <c r="F29" s="17" t="s">
        <v>153</v>
      </c>
      <c r="G29" s="17" t="s">
        <v>91</v>
      </c>
      <c r="H29" s="17" t="s">
        <v>154</v>
      </c>
      <c r="I29" s="15" t="s">
        <v>54</v>
      </c>
      <c r="J29" s="15"/>
      <c r="K29" s="15"/>
      <c r="L29" s="19"/>
      <c r="M29" s="17"/>
    </row>
    <row r="30" customFormat="false" ht="15" hidden="false" customHeight="false" outlineLevel="0" collapsed="false">
      <c r="A30" s="15" t="n">
        <v>29</v>
      </c>
      <c r="B30" s="16" t="s">
        <v>18</v>
      </c>
      <c r="C30" s="17" t="s">
        <v>155</v>
      </c>
      <c r="D30" s="17" t="s">
        <v>156</v>
      </c>
      <c r="E30" s="18" t="s">
        <v>30</v>
      </c>
      <c r="F30" s="17" t="s">
        <v>62</v>
      </c>
      <c r="G30" s="17" t="s">
        <v>149</v>
      </c>
      <c r="H30" s="17" t="s">
        <v>157</v>
      </c>
      <c r="I30" s="15" t="s">
        <v>54</v>
      </c>
      <c r="J30" s="15"/>
      <c r="K30" s="15"/>
      <c r="L30" s="19"/>
      <c r="M30" s="17"/>
    </row>
    <row r="31" customFormat="false" ht="15" hidden="false" customHeight="false" outlineLevel="0" collapsed="false">
      <c r="A31" s="15" t="n">
        <v>30</v>
      </c>
      <c r="B31" s="16" t="s">
        <v>18</v>
      </c>
      <c r="C31" s="17" t="s">
        <v>158</v>
      </c>
      <c r="D31" s="17" t="s">
        <v>14</v>
      </c>
      <c r="E31" s="20" t="s">
        <v>31</v>
      </c>
      <c r="F31" s="17" t="s">
        <v>159</v>
      </c>
      <c r="G31" s="17" t="s">
        <v>68</v>
      </c>
      <c r="H31" s="17" t="s">
        <v>74</v>
      </c>
      <c r="I31" s="15" t="s">
        <v>54</v>
      </c>
      <c r="J31" s="15"/>
      <c r="K31" s="15"/>
      <c r="L31" s="19"/>
      <c r="M31" s="17"/>
    </row>
    <row r="32" customFormat="false" ht="15" hidden="false" customHeight="false" outlineLevel="0" collapsed="false">
      <c r="A32" s="15" t="n">
        <v>31</v>
      </c>
      <c r="B32" s="16" t="s">
        <v>18</v>
      </c>
      <c r="C32" s="17" t="s">
        <v>160</v>
      </c>
      <c r="D32" s="17" t="s">
        <v>161</v>
      </c>
      <c r="E32" s="20" t="s">
        <v>31</v>
      </c>
      <c r="F32" s="17" t="s">
        <v>162</v>
      </c>
      <c r="G32" s="17" t="s">
        <v>163</v>
      </c>
      <c r="H32" s="17" t="s">
        <v>164</v>
      </c>
      <c r="I32" s="15" t="s">
        <v>54</v>
      </c>
      <c r="J32" s="15"/>
      <c r="K32" s="15"/>
      <c r="L32" s="19"/>
      <c r="M32" s="17"/>
    </row>
    <row r="33" customFormat="false" ht="15" hidden="false" customHeight="false" outlineLevel="0" collapsed="false">
      <c r="A33" s="15" t="n">
        <v>32</v>
      </c>
      <c r="B33" s="16" t="s">
        <v>18</v>
      </c>
      <c r="C33" s="17" t="s">
        <v>165</v>
      </c>
      <c r="D33" s="17" t="s">
        <v>166</v>
      </c>
      <c r="E33" s="21" t="s">
        <v>32</v>
      </c>
      <c r="F33" s="17" t="s">
        <v>67</v>
      </c>
      <c r="G33" s="17" t="s">
        <v>99</v>
      </c>
      <c r="H33" s="17" t="s">
        <v>69</v>
      </c>
      <c r="I33" s="15" t="s">
        <v>54</v>
      </c>
      <c r="J33" s="15"/>
      <c r="K33" s="15"/>
      <c r="L33" s="19"/>
      <c r="M33" s="17"/>
    </row>
    <row r="34" customFormat="false" ht="15" hidden="false" customHeight="false" outlineLevel="0" collapsed="false">
      <c r="A34" s="15" t="n">
        <v>33</v>
      </c>
      <c r="B34" s="16" t="s">
        <v>19</v>
      </c>
      <c r="C34" s="17" t="s">
        <v>167</v>
      </c>
      <c r="D34" s="17" t="s">
        <v>168</v>
      </c>
      <c r="E34" s="18" t="s">
        <v>30</v>
      </c>
      <c r="F34" s="17" t="s">
        <v>112</v>
      </c>
      <c r="G34" s="17" t="s">
        <v>94</v>
      </c>
      <c r="H34" s="17" t="s">
        <v>157</v>
      </c>
      <c r="I34" s="15" t="s">
        <v>54</v>
      </c>
      <c r="J34" s="15"/>
      <c r="K34" s="15"/>
      <c r="L34" s="19"/>
      <c r="M34" s="17"/>
    </row>
    <row r="35" customFormat="false" ht="15" hidden="false" customHeight="false" outlineLevel="0" collapsed="false">
      <c r="A35" s="15" t="n">
        <v>34</v>
      </c>
      <c r="B35" s="16" t="s">
        <v>19</v>
      </c>
      <c r="C35" s="17" t="s">
        <v>169</v>
      </c>
      <c r="D35" s="17" t="s">
        <v>170</v>
      </c>
      <c r="E35" s="18" t="s">
        <v>30</v>
      </c>
      <c r="F35" s="17" t="s">
        <v>62</v>
      </c>
      <c r="G35" s="17" t="s">
        <v>63</v>
      </c>
      <c r="H35" s="17" t="s">
        <v>171</v>
      </c>
      <c r="I35" s="15" t="s">
        <v>54</v>
      </c>
      <c r="J35" s="15"/>
      <c r="K35" s="15"/>
      <c r="L35" s="19"/>
      <c r="M35" s="17"/>
    </row>
    <row r="36" customFormat="false" ht="15" hidden="false" customHeight="false" outlineLevel="0" collapsed="false">
      <c r="A36" s="15" t="n">
        <v>35</v>
      </c>
      <c r="B36" s="16" t="s">
        <v>19</v>
      </c>
      <c r="C36" s="17" t="s">
        <v>172</v>
      </c>
      <c r="D36" s="17" t="s">
        <v>173</v>
      </c>
      <c r="E36" s="20" t="s">
        <v>31</v>
      </c>
      <c r="F36" s="17" t="s">
        <v>72</v>
      </c>
      <c r="G36" s="17" t="s">
        <v>174</v>
      </c>
      <c r="H36" s="17" t="s">
        <v>175</v>
      </c>
      <c r="I36" s="15" t="s">
        <v>54</v>
      </c>
      <c r="J36" s="15"/>
      <c r="K36" s="15"/>
      <c r="L36" s="19"/>
      <c r="M36" s="17"/>
    </row>
    <row r="37" customFormat="false" ht="15" hidden="false" customHeight="false" outlineLevel="0" collapsed="false">
      <c r="A37" s="15" t="n">
        <v>36</v>
      </c>
      <c r="B37" s="16" t="s">
        <v>19</v>
      </c>
      <c r="C37" s="17" t="s">
        <v>176</v>
      </c>
      <c r="D37" s="17" t="s">
        <v>177</v>
      </c>
      <c r="E37" s="20" t="s">
        <v>31</v>
      </c>
      <c r="F37" s="17" t="s">
        <v>72</v>
      </c>
      <c r="G37" s="17" t="s">
        <v>73</v>
      </c>
      <c r="H37" s="17" t="s">
        <v>74</v>
      </c>
      <c r="I37" s="15" t="s">
        <v>54</v>
      </c>
      <c r="J37" s="15"/>
      <c r="K37" s="15"/>
      <c r="L37" s="19"/>
      <c r="M37" s="17"/>
    </row>
    <row r="38" customFormat="false" ht="15" hidden="false" customHeight="false" outlineLevel="0" collapsed="false">
      <c r="A38" s="15" t="n">
        <v>37</v>
      </c>
      <c r="B38" s="16" t="s">
        <v>19</v>
      </c>
      <c r="C38" s="17" t="s">
        <v>178</v>
      </c>
      <c r="D38" s="17" t="s">
        <v>179</v>
      </c>
      <c r="E38" s="20" t="s">
        <v>31</v>
      </c>
      <c r="F38" s="17" t="s">
        <v>98</v>
      </c>
      <c r="G38" s="17" t="s">
        <v>105</v>
      </c>
      <c r="H38" s="17" t="s">
        <v>69</v>
      </c>
      <c r="I38" s="15" t="s">
        <v>54</v>
      </c>
      <c r="J38" s="15"/>
      <c r="K38" s="15"/>
      <c r="L38" s="19"/>
      <c r="M38" s="17"/>
    </row>
    <row r="39" customFormat="false" ht="15" hidden="false" customHeight="false" outlineLevel="0" collapsed="false">
      <c r="A39" s="15" t="n">
        <v>38</v>
      </c>
      <c r="B39" s="16" t="s">
        <v>19</v>
      </c>
      <c r="C39" s="17" t="s">
        <v>180</v>
      </c>
      <c r="D39" s="17" t="s">
        <v>181</v>
      </c>
      <c r="E39" s="21" t="s">
        <v>32</v>
      </c>
      <c r="F39" s="17" t="s">
        <v>98</v>
      </c>
      <c r="G39" s="17" t="s">
        <v>99</v>
      </c>
      <c r="H39" s="17" t="s">
        <v>83</v>
      </c>
      <c r="I39" s="15" t="s">
        <v>54</v>
      </c>
      <c r="J39" s="15"/>
      <c r="K39" s="15"/>
      <c r="L39" s="19"/>
      <c r="M39" s="17"/>
    </row>
    <row r="40" customFormat="false" ht="15" hidden="false" customHeight="false" outlineLevel="0" collapsed="false">
      <c r="A40" s="15" t="n">
        <v>39</v>
      </c>
      <c r="B40" s="16" t="s">
        <v>19</v>
      </c>
      <c r="C40" s="17" t="s">
        <v>182</v>
      </c>
      <c r="D40" s="17" t="s">
        <v>183</v>
      </c>
      <c r="E40" s="21" t="s">
        <v>32</v>
      </c>
      <c r="F40" s="17" t="s">
        <v>117</v>
      </c>
      <c r="G40" s="17" t="s">
        <v>73</v>
      </c>
      <c r="H40" s="17" t="s">
        <v>69</v>
      </c>
      <c r="I40" s="15" t="s">
        <v>54</v>
      </c>
      <c r="J40" s="15"/>
      <c r="K40" s="15"/>
      <c r="L40" s="19"/>
      <c r="M40" s="17"/>
    </row>
    <row r="41" customFormat="false" ht="15" hidden="false" customHeight="false" outlineLevel="0" collapsed="false">
      <c r="A41" s="15" t="n">
        <v>40</v>
      </c>
      <c r="B41" s="16" t="s">
        <v>20</v>
      </c>
      <c r="C41" s="17" t="s">
        <v>184</v>
      </c>
      <c r="D41" s="17" t="s">
        <v>185</v>
      </c>
      <c r="E41" s="20" t="s">
        <v>31</v>
      </c>
      <c r="F41" s="17" t="s">
        <v>72</v>
      </c>
      <c r="G41" s="17" t="s">
        <v>68</v>
      </c>
      <c r="H41" s="17" t="s">
        <v>138</v>
      </c>
      <c r="I41" s="15" t="s">
        <v>54</v>
      </c>
      <c r="J41" s="15"/>
      <c r="K41" s="15"/>
      <c r="L41" s="19"/>
      <c r="M41" s="17"/>
    </row>
    <row r="42" customFormat="false" ht="15" hidden="false" customHeight="false" outlineLevel="0" collapsed="false">
      <c r="A42" s="15" t="n">
        <v>41</v>
      </c>
      <c r="B42" s="16" t="s">
        <v>20</v>
      </c>
      <c r="C42" s="17" t="s">
        <v>186</v>
      </c>
      <c r="D42" s="17" t="s">
        <v>187</v>
      </c>
      <c r="E42" s="20" t="s">
        <v>31</v>
      </c>
      <c r="F42" s="17" t="s">
        <v>188</v>
      </c>
      <c r="G42" s="17" t="s">
        <v>189</v>
      </c>
      <c r="H42" s="17" t="s">
        <v>121</v>
      </c>
      <c r="I42" s="15" t="s">
        <v>54</v>
      </c>
      <c r="J42" s="15"/>
      <c r="K42" s="15"/>
      <c r="L42" s="19"/>
      <c r="M42" s="17"/>
    </row>
    <row r="43" customFormat="false" ht="15" hidden="false" customHeight="false" outlineLevel="0" collapsed="false">
      <c r="A43" s="15" t="n">
        <v>42</v>
      </c>
      <c r="B43" s="16" t="s">
        <v>20</v>
      </c>
      <c r="C43" s="17" t="s">
        <v>190</v>
      </c>
      <c r="D43" s="17" t="s">
        <v>191</v>
      </c>
      <c r="E43" s="20" t="s">
        <v>31</v>
      </c>
      <c r="F43" s="17" t="s">
        <v>98</v>
      </c>
      <c r="G43" s="17" t="s">
        <v>143</v>
      </c>
      <c r="H43" s="17" t="s">
        <v>69</v>
      </c>
      <c r="I43" s="15" t="s">
        <v>54</v>
      </c>
      <c r="J43" s="15"/>
      <c r="K43" s="15"/>
      <c r="L43" s="19"/>
      <c r="M43" s="17"/>
    </row>
    <row r="44" customFormat="false" ht="15" hidden="false" customHeight="false" outlineLevel="0" collapsed="false">
      <c r="A44" s="15" t="n">
        <v>43</v>
      </c>
      <c r="B44" s="16" t="s">
        <v>20</v>
      </c>
      <c r="C44" s="17" t="s">
        <v>192</v>
      </c>
      <c r="D44" s="17" t="s">
        <v>193</v>
      </c>
      <c r="E44" s="21" t="s">
        <v>32</v>
      </c>
      <c r="F44" s="17" t="s">
        <v>194</v>
      </c>
      <c r="G44" s="17" t="s">
        <v>195</v>
      </c>
      <c r="H44" s="17" t="s">
        <v>69</v>
      </c>
      <c r="I44" s="15" t="s">
        <v>54</v>
      </c>
      <c r="J44" s="15"/>
      <c r="K44" s="15"/>
      <c r="L44" s="19"/>
      <c r="M44" s="17"/>
    </row>
    <row r="45" customFormat="false" ht="15" hidden="false" customHeight="false" outlineLevel="0" collapsed="false">
      <c r="A45" s="15" t="n">
        <v>44</v>
      </c>
      <c r="B45" s="16" t="s">
        <v>21</v>
      </c>
      <c r="C45" s="17" t="s">
        <v>196</v>
      </c>
      <c r="D45" s="17" t="s">
        <v>21</v>
      </c>
      <c r="E45" s="20" t="s">
        <v>31</v>
      </c>
      <c r="F45" s="17" t="s">
        <v>98</v>
      </c>
      <c r="G45" s="17" t="s">
        <v>197</v>
      </c>
      <c r="H45" s="17" t="s">
        <v>74</v>
      </c>
      <c r="I45" s="15" t="s">
        <v>54</v>
      </c>
      <c r="J45" s="15"/>
      <c r="K45" s="15"/>
      <c r="L45" s="19"/>
      <c r="M45" s="17"/>
    </row>
    <row r="46" customFormat="false" ht="15" hidden="false" customHeight="false" outlineLevel="0" collapsed="false">
      <c r="A46" s="15" t="n">
        <v>45</v>
      </c>
      <c r="B46" s="16" t="s">
        <v>21</v>
      </c>
      <c r="C46" s="17" t="s">
        <v>198</v>
      </c>
      <c r="D46" s="17" t="s">
        <v>21</v>
      </c>
      <c r="E46" s="20" t="s">
        <v>31</v>
      </c>
      <c r="F46" s="17" t="s">
        <v>77</v>
      </c>
      <c r="G46" s="17" t="s">
        <v>199</v>
      </c>
      <c r="H46" s="17" t="s">
        <v>83</v>
      </c>
      <c r="I46" s="15" t="s">
        <v>54</v>
      </c>
      <c r="J46" s="15"/>
      <c r="K46" s="15"/>
      <c r="L46" s="19"/>
      <c r="M46" s="17"/>
    </row>
    <row r="47" customFormat="false" ht="15" hidden="false" customHeight="false" outlineLevel="0" collapsed="false">
      <c r="A47" s="15" t="n">
        <v>46</v>
      </c>
      <c r="B47" s="16" t="s">
        <v>21</v>
      </c>
      <c r="C47" s="17" t="s">
        <v>200</v>
      </c>
      <c r="D47" s="17" t="s">
        <v>21</v>
      </c>
      <c r="E47" s="20" t="s">
        <v>31</v>
      </c>
      <c r="F47" s="17" t="s">
        <v>67</v>
      </c>
      <c r="G47" s="17" t="s">
        <v>143</v>
      </c>
      <c r="H47" s="17" t="s">
        <v>74</v>
      </c>
      <c r="I47" s="15" t="s">
        <v>54</v>
      </c>
      <c r="J47" s="15"/>
      <c r="K47" s="15"/>
      <c r="L47" s="19"/>
      <c r="M47" s="17"/>
    </row>
    <row r="48" customFormat="false" ht="15" hidden="false" customHeight="false" outlineLevel="0" collapsed="false">
      <c r="A48" s="15" t="n">
        <v>47</v>
      </c>
      <c r="B48" s="16" t="s">
        <v>21</v>
      </c>
      <c r="C48" s="17" t="s">
        <v>201</v>
      </c>
      <c r="D48" s="17" t="s">
        <v>202</v>
      </c>
      <c r="E48" s="20" t="s">
        <v>31</v>
      </c>
      <c r="F48" s="17" t="s">
        <v>72</v>
      </c>
      <c r="G48" s="17" t="s">
        <v>99</v>
      </c>
      <c r="H48" s="17" t="s">
        <v>83</v>
      </c>
      <c r="I48" s="15" t="s">
        <v>54</v>
      </c>
      <c r="J48" s="15"/>
      <c r="K48" s="15"/>
      <c r="L48" s="19"/>
      <c r="M48" s="17"/>
    </row>
    <row r="49" customFormat="false" ht="15" hidden="false" customHeight="false" outlineLevel="0" collapsed="false">
      <c r="A49" s="15" t="n">
        <v>48</v>
      </c>
      <c r="B49" s="16" t="s">
        <v>21</v>
      </c>
      <c r="C49" s="17" t="s">
        <v>203</v>
      </c>
      <c r="D49" s="17" t="s">
        <v>21</v>
      </c>
      <c r="E49" s="21" t="s">
        <v>32</v>
      </c>
      <c r="F49" s="17" t="s">
        <v>112</v>
      </c>
      <c r="G49" s="17" t="s">
        <v>195</v>
      </c>
      <c r="H49" s="17" t="s">
        <v>69</v>
      </c>
      <c r="I49" s="15" t="s">
        <v>54</v>
      </c>
      <c r="J49" s="15"/>
      <c r="K49" s="15"/>
      <c r="L49" s="19"/>
      <c r="M49" s="17"/>
    </row>
    <row r="50" customFormat="false" ht="15" hidden="false" customHeight="false" outlineLevel="0" collapsed="false">
      <c r="A50" s="15" t="n">
        <v>49</v>
      </c>
      <c r="B50" s="16" t="s">
        <v>22</v>
      </c>
      <c r="C50" s="17" t="s">
        <v>204</v>
      </c>
      <c r="D50" s="17" t="s">
        <v>205</v>
      </c>
      <c r="E50" s="20" t="s">
        <v>31</v>
      </c>
      <c r="F50" s="17" t="s">
        <v>81</v>
      </c>
      <c r="G50" s="17" t="s">
        <v>206</v>
      </c>
      <c r="H50" s="17" t="s">
        <v>74</v>
      </c>
      <c r="I50" s="15" t="s">
        <v>54</v>
      </c>
      <c r="J50" s="15"/>
      <c r="K50" s="15"/>
      <c r="L50" s="19"/>
      <c r="M50" s="17"/>
    </row>
    <row r="51" customFormat="false" ht="15" hidden="false" customHeight="false" outlineLevel="0" collapsed="false">
      <c r="A51" s="15" t="n">
        <v>50</v>
      </c>
      <c r="B51" s="16" t="s">
        <v>22</v>
      </c>
      <c r="C51" s="17" t="s">
        <v>207</v>
      </c>
      <c r="D51" s="17" t="s">
        <v>208</v>
      </c>
      <c r="E51" s="21" t="s">
        <v>32</v>
      </c>
      <c r="F51" s="17" t="s">
        <v>81</v>
      </c>
      <c r="G51" s="17" t="s">
        <v>99</v>
      </c>
      <c r="H51" s="17" t="s">
        <v>69</v>
      </c>
      <c r="I51" s="15" t="s">
        <v>54</v>
      </c>
      <c r="J51" s="15"/>
      <c r="K51" s="15"/>
      <c r="L51" s="19"/>
      <c r="M51" s="17"/>
    </row>
    <row r="52" customFormat="false" ht="15" hidden="false" customHeight="false" outlineLevel="0" collapsed="false">
      <c r="A52" s="15" t="n">
        <v>51</v>
      </c>
      <c r="B52" s="16" t="s">
        <v>23</v>
      </c>
      <c r="C52" s="17" t="s">
        <v>209</v>
      </c>
      <c r="D52" s="17" t="s">
        <v>210</v>
      </c>
      <c r="E52" s="20" t="s">
        <v>31</v>
      </c>
      <c r="F52" s="17" t="s">
        <v>77</v>
      </c>
      <c r="G52" s="17" t="s">
        <v>211</v>
      </c>
      <c r="H52" s="17" t="s">
        <v>212</v>
      </c>
      <c r="I52" s="15" t="s">
        <v>54</v>
      </c>
      <c r="J52" s="15"/>
      <c r="K52" s="15"/>
      <c r="L52" s="19"/>
      <c r="M52" s="17"/>
    </row>
    <row r="53" customFormat="false" ht="15" hidden="false" customHeight="false" outlineLevel="0" collapsed="false">
      <c r="A53" s="15" t="n">
        <v>52</v>
      </c>
      <c r="B53" s="16" t="s">
        <v>23</v>
      </c>
      <c r="C53" s="17" t="s">
        <v>213</v>
      </c>
      <c r="D53" s="17" t="s">
        <v>214</v>
      </c>
      <c r="E53" s="20" t="s">
        <v>31</v>
      </c>
      <c r="F53" s="17" t="s">
        <v>98</v>
      </c>
      <c r="G53" s="17" t="s">
        <v>215</v>
      </c>
      <c r="H53" s="17" t="s">
        <v>83</v>
      </c>
      <c r="I53" s="15" t="s">
        <v>54</v>
      </c>
      <c r="J53" s="15"/>
      <c r="K53" s="15"/>
      <c r="L53" s="19"/>
      <c r="M53" s="17"/>
    </row>
    <row r="54" customFormat="false" ht="15" hidden="false" customHeight="false" outlineLevel="0" collapsed="false">
      <c r="A54" s="15" t="n">
        <v>53</v>
      </c>
      <c r="B54" s="16" t="s">
        <v>23</v>
      </c>
      <c r="C54" s="17" t="s">
        <v>216</v>
      </c>
      <c r="D54" s="17" t="s">
        <v>217</v>
      </c>
      <c r="E54" s="20" t="s">
        <v>31</v>
      </c>
      <c r="F54" s="17" t="s">
        <v>81</v>
      </c>
      <c r="G54" s="17" t="s">
        <v>105</v>
      </c>
      <c r="H54" s="17" t="s">
        <v>74</v>
      </c>
      <c r="I54" s="15" t="s">
        <v>54</v>
      </c>
      <c r="J54" s="15"/>
      <c r="K54" s="15"/>
      <c r="L54" s="19"/>
      <c r="M54" s="17"/>
    </row>
    <row r="55" customFormat="false" ht="15" hidden="false" customHeight="false" outlineLevel="0" collapsed="false">
      <c r="A55" s="15" t="n">
        <v>54</v>
      </c>
      <c r="B55" s="16" t="s">
        <v>23</v>
      </c>
      <c r="C55" s="17" t="s">
        <v>218</v>
      </c>
      <c r="D55" s="17" t="s">
        <v>219</v>
      </c>
      <c r="E55" s="20" t="s">
        <v>31</v>
      </c>
      <c r="F55" s="17" t="s">
        <v>62</v>
      </c>
      <c r="G55" s="17" t="s">
        <v>220</v>
      </c>
      <c r="H55" s="17" t="s">
        <v>121</v>
      </c>
      <c r="I55" s="15" t="s">
        <v>54</v>
      </c>
      <c r="J55" s="15"/>
      <c r="K55" s="15"/>
      <c r="L55" s="19"/>
      <c r="M55" s="17"/>
    </row>
    <row r="56" customFormat="false" ht="15" hidden="false" customHeight="false" outlineLevel="0" collapsed="false">
      <c r="A56" s="15" t="n">
        <v>55</v>
      </c>
      <c r="B56" s="16" t="s">
        <v>23</v>
      </c>
      <c r="C56" s="17" t="s">
        <v>221</v>
      </c>
      <c r="D56" s="17" t="s">
        <v>222</v>
      </c>
      <c r="E56" s="20" t="s">
        <v>31</v>
      </c>
      <c r="F56" s="17" t="s">
        <v>142</v>
      </c>
      <c r="G56" s="17" t="s">
        <v>223</v>
      </c>
      <c r="H56" s="17" t="s">
        <v>69</v>
      </c>
      <c r="I56" s="15" t="s">
        <v>54</v>
      </c>
      <c r="J56" s="15"/>
      <c r="K56" s="15"/>
      <c r="L56" s="19"/>
      <c r="M56" s="17"/>
    </row>
    <row r="57" customFormat="false" ht="15" hidden="false" customHeight="false" outlineLevel="0" collapsed="false">
      <c r="A57" s="15" t="n">
        <v>56</v>
      </c>
      <c r="B57" s="16" t="s">
        <v>23</v>
      </c>
      <c r="C57" s="17" t="s">
        <v>224</v>
      </c>
      <c r="D57" s="17" t="s">
        <v>225</v>
      </c>
      <c r="E57" s="21" t="s">
        <v>32</v>
      </c>
      <c r="F57" s="17" t="s">
        <v>77</v>
      </c>
      <c r="G57" s="17" t="s">
        <v>99</v>
      </c>
      <c r="H57" s="17" t="s">
        <v>69</v>
      </c>
      <c r="I57" s="15" t="s">
        <v>54</v>
      </c>
      <c r="J57" s="15"/>
      <c r="K57" s="15"/>
      <c r="L57" s="19"/>
      <c r="M57" s="17"/>
    </row>
    <row r="58" customFormat="false" ht="15" hidden="false" customHeight="false" outlineLevel="0" collapsed="false">
      <c r="A58" s="15" t="n">
        <v>57</v>
      </c>
      <c r="B58" s="16" t="s">
        <v>24</v>
      </c>
      <c r="C58" s="17" t="s">
        <v>226</v>
      </c>
      <c r="D58" s="17" t="s">
        <v>227</v>
      </c>
      <c r="E58" s="18" t="s">
        <v>30</v>
      </c>
      <c r="F58" s="17" t="s">
        <v>127</v>
      </c>
      <c r="G58" s="17" t="s">
        <v>63</v>
      </c>
      <c r="H58" s="17" t="s">
        <v>53</v>
      </c>
      <c r="I58" s="15" t="s">
        <v>54</v>
      </c>
      <c r="J58" s="15"/>
      <c r="K58" s="15"/>
      <c r="L58" s="19"/>
      <c r="M58" s="17"/>
    </row>
    <row r="59" customFormat="false" ht="15" hidden="false" customHeight="false" outlineLevel="0" collapsed="false">
      <c r="A59" s="15" t="n">
        <v>58</v>
      </c>
      <c r="B59" s="16" t="s">
        <v>24</v>
      </c>
      <c r="C59" s="17" t="s">
        <v>228</v>
      </c>
      <c r="D59" s="17" t="s">
        <v>227</v>
      </c>
      <c r="E59" s="20" t="s">
        <v>31</v>
      </c>
      <c r="F59" s="17" t="s">
        <v>229</v>
      </c>
      <c r="G59" s="17" t="s">
        <v>197</v>
      </c>
      <c r="H59" s="17" t="s">
        <v>74</v>
      </c>
      <c r="I59" s="15" t="s">
        <v>54</v>
      </c>
      <c r="J59" s="15"/>
      <c r="K59" s="15"/>
      <c r="L59" s="19"/>
      <c r="M59" s="17"/>
    </row>
    <row r="60" customFormat="false" ht="15" hidden="false" customHeight="false" outlineLevel="0" collapsed="false">
      <c r="A60" s="15" t="n">
        <v>59</v>
      </c>
      <c r="B60" s="16" t="s">
        <v>24</v>
      </c>
      <c r="C60" s="17" t="s">
        <v>230</v>
      </c>
      <c r="D60" s="17" t="s">
        <v>231</v>
      </c>
      <c r="E60" s="20" t="s">
        <v>31</v>
      </c>
      <c r="F60" s="17" t="s">
        <v>229</v>
      </c>
      <c r="G60" s="17" t="s">
        <v>232</v>
      </c>
      <c r="H60" s="17" t="s">
        <v>233</v>
      </c>
      <c r="I60" s="15" t="s">
        <v>54</v>
      </c>
      <c r="J60" s="15"/>
      <c r="K60" s="15"/>
      <c r="L60" s="19"/>
      <c r="M60" s="17"/>
    </row>
    <row r="61" customFormat="false" ht="15" hidden="false" customHeight="false" outlineLevel="0" collapsed="false">
      <c r="A61" s="15" t="n">
        <v>60</v>
      </c>
      <c r="B61" s="16" t="s">
        <v>24</v>
      </c>
      <c r="C61" s="17" t="s">
        <v>234</v>
      </c>
      <c r="D61" s="17" t="s">
        <v>235</v>
      </c>
      <c r="E61" s="20" t="s">
        <v>31</v>
      </c>
      <c r="F61" s="17" t="s">
        <v>67</v>
      </c>
      <c r="G61" s="17" t="s">
        <v>99</v>
      </c>
      <c r="H61" s="17" t="s">
        <v>74</v>
      </c>
      <c r="I61" s="15" t="s">
        <v>54</v>
      </c>
      <c r="J61" s="15"/>
      <c r="K61" s="15"/>
      <c r="L61" s="19"/>
      <c r="M61" s="17"/>
    </row>
    <row r="62" customFormat="false" ht="15" hidden="false" customHeight="false" outlineLevel="0" collapsed="false">
      <c r="A62" s="15" t="n">
        <v>61</v>
      </c>
      <c r="B62" s="16" t="s">
        <v>24</v>
      </c>
      <c r="C62" s="17" t="s">
        <v>236</v>
      </c>
      <c r="D62" s="17" t="s">
        <v>237</v>
      </c>
      <c r="E62" s="20" t="s">
        <v>31</v>
      </c>
      <c r="F62" s="17" t="s">
        <v>229</v>
      </c>
      <c r="G62" s="17" t="s">
        <v>68</v>
      </c>
      <c r="H62" s="17" t="s">
        <v>69</v>
      </c>
      <c r="I62" s="15" t="s">
        <v>54</v>
      </c>
      <c r="J62" s="15"/>
      <c r="K62" s="15"/>
      <c r="L62" s="19"/>
      <c r="M62" s="17"/>
    </row>
    <row r="63" customFormat="false" ht="15" hidden="false" customHeight="false" outlineLevel="0" collapsed="false">
      <c r="A63" s="15" t="n">
        <v>62</v>
      </c>
      <c r="B63" s="16" t="s">
        <v>24</v>
      </c>
      <c r="C63" s="17" t="s">
        <v>238</v>
      </c>
      <c r="D63" s="17" t="s">
        <v>239</v>
      </c>
      <c r="E63" s="20" t="s">
        <v>31</v>
      </c>
      <c r="F63" s="17" t="s">
        <v>77</v>
      </c>
      <c r="G63" s="17" t="s">
        <v>105</v>
      </c>
      <c r="H63" s="17" t="s">
        <v>83</v>
      </c>
      <c r="I63" s="15" t="s">
        <v>54</v>
      </c>
      <c r="J63" s="15"/>
      <c r="K63" s="15"/>
      <c r="L63" s="19"/>
      <c r="M63" s="17"/>
    </row>
    <row r="64" customFormat="false" ht="15" hidden="false" customHeight="false" outlineLevel="0" collapsed="false">
      <c r="A64" s="15" t="n">
        <v>63</v>
      </c>
      <c r="B64" s="16" t="s">
        <v>24</v>
      </c>
      <c r="C64" s="17" t="s">
        <v>240</v>
      </c>
      <c r="D64" s="17" t="s">
        <v>241</v>
      </c>
      <c r="E64" s="20" t="s">
        <v>31</v>
      </c>
      <c r="F64" s="17" t="s">
        <v>67</v>
      </c>
      <c r="G64" s="17" t="s">
        <v>113</v>
      </c>
      <c r="H64" s="17" t="s">
        <v>69</v>
      </c>
      <c r="I64" s="15" t="s">
        <v>54</v>
      </c>
      <c r="J64" s="15"/>
      <c r="K64" s="15"/>
      <c r="L64" s="19"/>
      <c r="M64" s="17"/>
    </row>
    <row r="65" customFormat="false" ht="15" hidden="false" customHeight="false" outlineLevel="0" collapsed="false">
      <c r="A65" s="15" t="n">
        <v>64</v>
      </c>
      <c r="B65" s="16" t="s">
        <v>24</v>
      </c>
      <c r="C65" s="17" t="s">
        <v>242</v>
      </c>
      <c r="D65" s="17" t="s">
        <v>237</v>
      </c>
      <c r="E65" s="21" t="s">
        <v>32</v>
      </c>
      <c r="F65" s="17" t="s">
        <v>81</v>
      </c>
      <c r="G65" s="17" t="s">
        <v>99</v>
      </c>
      <c r="H65" s="17" t="s">
        <v>69</v>
      </c>
      <c r="I65" s="15" t="s">
        <v>54</v>
      </c>
      <c r="J65" s="15"/>
      <c r="K65" s="15"/>
      <c r="L65" s="19"/>
      <c r="M65" s="17"/>
    </row>
    <row r="66" customFormat="false" ht="15" hidden="false" customHeight="false" outlineLevel="0" collapsed="false">
      <c r="A66" s="15" t="n">
        <v>65</v>
      </c>
      <c r="B66" s="16" t="s">
        <v>25</v>
      </c>
      <c r="C66" s="17" t="s">
        <v>243</v>
      </c>
      <c r="D66" s="17" t="s">
        <v>244</v>
      </c>
      <c r="E66" s="20" t="s">
        <v>31</v>
      </c>
      <c r="F66" s="17" t="s">
        <v>245</v>
      </c>
      <c r="G66" s="17" t="s">
        <v>246</v>
      </c>
      <c r="H66" s="17" t="s">
        <v>247</v>
      </c>
      <c r="I66" s="15" t="s">
        <v>54</v>
      </c>
      <c r="J66" s="15"/>
      <c r="K66" s="15"/>
      <c r="L66" s="19"/>
      <c r="M66" s="17"/>
    </row>
    <row r="67" customFormat="false" ht="15" hidden="false" customHeight="false" outlineLevel="0" collapsed="false">
      <c r="A67" s="15" t="n">
        <v>66</v>
      </c>
      <c r="B67" s="16" t="s">
        <v>25</v>
      </c>
      <c r="C67" s="17" t="s">
        <v>248</v>
      </c>
      <c r="D67" s="17" t="s">
        <v>249</v>
      </c>
      <c r="E67" s="20" t="s">
        <v>31</v>
      </c>
      <c r="F67" s="17" t="s">
        <v>245</v>
      </c>
      <c r="G67" s="17" t="s">
        <v>250</v>
      </c>
      <c r="H67" s="17" t="s">
        <v>121</v>
      </c>
      <c r="I67" s="15" t="s">
        <v>54</v>
      </c>
      <c r="J67" s="15"/>
      <c r="K67" s="15"/>
      <c r="L67" s="19"/>
      <c r="M67" s="17"/>
    </row>
    <row r="68" customFormat="false" ht="15" hidden="false" customHeight="false" outlineLevel="0" collapsed="false">
      <c r="A68" s="15" t="n">
        <v>67</v>
      </c>
      <c r="B68" s="16" t="s">
        <v>26</v>
      </c>
      <c r="C68" s="17" t="s">
        <v>251</v>
      </c>
      <c r="D68" s="17" t="s">
        <v>26</v>
      </c>
      <c r="E68" s="20" t="s">
        <v>31</v>
      </c>
      <c r="F68" s="17" t="s">
        <v>229</v>
      </c>
      <c r="G68" s="17" t="s">
        <v>105</v>
      </c>
      <c r="H68" s="17" t="s">
        <v>74</v>
      </c>
      <c r="I68" s="15" t="s">
        <v>54</v>
      </c>
      <c r="J68" s="15"/>
      <c r="K68" s="15"/>
      <c r="L68" s="19"/>
      <c r="M68" s="17"/>
    </row>
    <row r="69" customFormat="false" ht="15" hidden="false" customHeight="false" outlineLevel="0" collapsed="false">
      <c r="A69" s="15" t="n">
        <v>68</v>
      </c>
      <c r="B69" s="16" t="s">
        <v>27</v>
      </c>
      <c r="C69" s="17" t="s">
        <v>252</v>
      </c>
      <c r="D69" s="17" t="s">
        <v>253</v>
      </c>
      <c r="E69" s="18" t="s">
        <v>30</v>
      </c>
      <c r="F69" s="17" t="s">
        <v>127</v>
      </c>
      <c r="G69" s="17" t="s">
        <v>63</v>
      </c>
      <c r="H69" s="17" t="s">
        <v>157</v>
      </c>
      <c r="I69" s="15" t="s">
        <v>54</v>
      </c>
      <c r="J69" s="15"/>
      <c r="K69" s="15"/>
      <c r="L69" s="19"/>
      <c r="M69" s="17"/>
    </row>
    <row r="70" customFormat="false" ht="15" hidden="false" customHeight="false" outlineLevel="0" collapsed="false">
      <c r="A70" s="15" t="n">
        <v>69</v>
      </c>
      <c r="B70" s="16" t="s">
        <v>27</v>
      </c>
      <c r="C70" s="17" t="s">
        <v>254</v>
      </c>
      <c r="D70" s="17" t="s">
        <v>255</v>
      </c>
      <c r="E70" s="18" t="s">
        <v>30</v>
      </c>
      <c r="F70" s="17" t="s">
        <v>256</v>
      </c>
      <c r="G70" s="17" t="s">
        <v>257</v>
      </c>
      <c r="H70" s="17" t="s">
        <v>258</v>
      </c>
      <c r="I70" s="15" t="s">
        <v>54</v>
      </c>
      <c r="J70" s="15"/>
      <c r="K70" s="15"/>
      <c r="L70" s="19"/>
      <c r="M70" s="17"/>
    </row>
  </sheetData>
  <autoFilter ref="A1:M70"/>
  <dataValidations count="2">
    <dataValidation allowBlank="true" errorStyle="stop" operator="between" showDropDown="false" showErrorMessage="false" showInputMessage="false" sqref="I2:J70" type="list">
      <formula1>"Yes,No"</formula1>
      <formula2>0</formula2>
    </dataValidation>
    <dataValidation allowBlank="true" errorStyle="stop" operator="greaterThanOrEqual" showDropDown="false" showErrorMessage="false" showInputMessage="false" sqref="K2:K7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7" min="5" style="0" width="28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4" t="s">
        <v>39</v>
      </c>
      <c r="B1" s="14" t="s">
        <v>40</v>
      </c>
      <c r="C1" s="14" t="s">
        <v>259</v>
      </c>
      <c r="D1" s="14" t="s">
        <v>260</v>
      </c>
      <c r="E1" s="14" t="s">
        <v>42</v>
      </c>
      <c r="F1" s="14" t="s">
        <v>43</v>
      </c>
      <c r="G1" s="14" t="s">
        <v>44</v>
      </c>
      <c r="H1" s="14" t="s">
        <v>4</v>
      </c>
      <c r="I1" s="14" t="s">
        <v>48</v>
      </c>
    </row>
    <row r="2" customFormat="false" ht="15" hidden="false" customHeight="false" outlineLevel="0" collapsed="false">
      <c r="A2" s="22" t="n">
        <v>1</v>
      </c>
      <c r="B2" s="17" t="s">
        <v>261</v>
      </c>
      <c r="C2" s="17" t="s">
        <v>262</v>
      </c>
      <c r="D2" s="17" t="s">
        <v>263</v>
      </c>
      <c r="E2" s="17" t="s">
        <v>67</v>
      </c>
      <c r="F2" s="17" t="s">
        <v>264</v>
      </c>
      <c r="G2" s="17" t="s">
        <v>164</v>
      </c>
      <c r="H2" s="22" t="s">
        <v>54</v>
      </c>
      <c r="I2" s="17"/>
    </row>
    <row r="3" customFormat="false" ht="15" hidden="false" customHeight="false" outlineLevel="0" collapsed="false">
      <c r="A3" s="22" t="n">
        <v>2</v>
      </c>
      <c r="B3" s="17" t="s">
        <v>265</v>
      </c>
      <c r="C3" s="17" t="s">
        <v>266</v>
      </c>
      <c r="D3" s="17" t="s">
        <v>267</v>
      </c>
      <c r="E3" s="17" t="s">
        <v>67</v>
      </c>
      <c r="F3" s="17" t="s">
        <v>268</v>
      </c>
      <c r="G3" s="17" t="s">
        <v>212</v>
      </c>
      <c r="H3" s="22" t="s">
        <v>54</v>
      </c>
      <c r="I3" s="17"/>
    </row>
    <row r="4" customFormat="false" ht="15" hidden="false" customHeight="false" outlineLevel="0" collapsed="false">
      <c r="A4" s="22" t="n">
        <v>3</v>
      </c>
      <c r="B4" s="17" t="s">
        <v>269</v>
      </c>
      <c r="C4" s="17" t="s">
        <v>270</v>
      </c>
      <c r="D4" s="17" t="s">
        <v>267</v>
      </c>
      <c r="E4" s="17" t="s">
        <v>72</v>
      </c>
      <c r="F4" s="17" t="s">
        <v>271</v>
      </c>
      <c r="G4" s="17" t="s">
        <v>83</v>
      </c>
      <c r="H4" s="22" t="s">
        <v>54</v>
      </c>
      <c r="I4" s="17"/>
    </row>
    <row r="5" customFormat="false" ht="15" hidden="false" customHeight="false" outlineLevel="0" collapsed="false">
      <c r="A5" s="22" t="n">
        <v>4</v>
      </c>
      <c r="B5" s="17" t="s">
        <v>272</v>
      </c>
      <c r="C5" s="17" t="s">
        <v>273</v>
      </c>
      <c r="D5" s="17" t="s">
        <v>274</v>
      </c>
      <c r="E5" s="17" t="s">
        <v>117</v>
      </c>
      <c r="F5" s="17" t="s">
        <v>275</v>
      </c>
      <c r="G5" s="17" t="s">
        <v>74</v>
      </c>
      <c r="H5" s="22" t="s">
        <v>54</v>
      </c>
      <c r="I5" s="17"/>
    </row>
    <row r="6" customFormat="false" ht="15" hidden="false" customHeight="false" outlineLevel="0" collapsed="false">
      <c r="A6" s="22" t="n">
        <v>5</v>
      </c>
      <c r="B6" s="17" t="s">
        <v>276</v>
      </c>
      <c r="C6" s="17" t="s">
        <v>277</v>
      </c>
      <c r="D6" s="17" t="s">
        <v>274</v>
      </c>
      <c r="E6" s="17" t="s">
        <v>278</v>
      </c>
      <c r="F6" s="17" t="s">
        <v>279</v>
      </c>
      <c r="G6" s="17" t="s">
        <v>69</v>
      </c>
      <c r="H6" s="22" t="s">
        <v>54</v>
      </c>
      <c r="I6" s="17"/>
    </row>
    <row r="7" customFormat="false" ht="15" hidden="false" customHeight="false" outlineLevel="0" collapsed="false">
      <c r="A7" s="22" t="n">
        <v>6</v>
      </c>
      <c r="B7" s="17" t="s">
        <v>280</v>
      </c>
      <c r="C7" s="17" t="s">
        <v>281</v>
      </c>
      <c r="D7" s="17" t="s">
        <v>282</v>
      </c>
      <c r="E7" s="17" t="s">
        <v>283</v>
      </c>
      <c r="F7" s="17" t="s">
        <v>284</v>
      </c>
      <c r="G7" s="17" t="s">
        <v>83</v>
      </c>
      <c r="H7" s="22" t="s">
        <v>54</v>
      </c>
      <c r="I7" s="17"/>
    </row>
    <row r="8" customFormat="false" ht="15" hidden="false" customHeight="false" outlineLevel="0" collapsed="false">
      <c r="A8" s="22" t="n">
        <v>7</v>
      </c>
      <c r="B8" s="17" t="s">
        <v>285</v>
      </c>
      <c r="C8" s="17" t="s">
        <v>286</v>
      </c>
      <c r="D8" s="17" t="s">
        <v>282</v>
      </c>
      <c r="E8" s="17" t="s">
        <v>104</v>
      </c>
      <c r="F8" s="17" t="s">
        <v>287</v>
      </c>
      <c r="G8" s="17" t="s">
        <v>74</v>
      </c>
      <c r="H8" s="22" t="s">
        <v>54</v>
      </c>
      <c r="I8" s="17"/>
    </row>
    <row r="9" customFormat="false" ht="15" hidden="false" customHeight="false" outlineLevel="0" collapsed="false">
      <c r="A9" s="22" t="n">
        <v>8</v>
      </c>
      <c r="B9" s="17" t="s">
        <v>288</v>
      </c>
      <c r="C9" s="17" t="s">
        <v>289</v>
      </c>
      <c r="D9" s="17" t="s">
        <v>274</v>
      </c>
      <c r="E9" s="17" t="s">
        <v>142</v>
      </c>
      <c r="F9" s="17" t="s">
        <v>94</v>
      </c>
      <c r="G9" s="17" t="s">
        <v>290</v>
      </c>
      <c r="H9" s="22" t="s">
        <v>54</v>
      </c>
      <c r="I9" s="17"/>
    </row>
    <row r="10" customFormat="false" ht="23.85" hidden="false" customHeight="false" outlineLevel="0" collapsed="false">
      <c r="A10" s="22" t="n">
        <v>9</v>
      </c>
      <c r="B10" s="17" t="s">
        <v>291</v>
      </c>
      <c r="C10" s="17" t="s">
        <v>292</v>
      </c>
      <c r="D10" s="17" t="s">
        <v>282</v>
      </c>
      <c r="E10" s="17" t="s">
        <v>81</v>
      </c>
      <c r="F10" s="17" t="s">
        <v>293</v>
      </c>
      <c r="G10" s="17" t="s">
        <v>69</v>
      </c>
      <c r="H10" s="22" t="s">
        <v>54</v>
      </c>
      <c r="I10" s="17"/>
    </row>
    <row r="11" customFormat="false" ht="23.85" hidden="false" customHeight="false" outlineLevel="0" collapsed="false">
      <c r="A11" s="22" t="n">
        <v>10</v>
      </c>
      <c r="B11" s="17" t="s">
        <v>294</v>
      </c>
      <c r="C11" s="17" t="s">
        <v>295</v>
      </c>
      <c r="D11" s="17" t="s">
        <v>282</v>
      </c>
      <c r="E11" s="17" t="s">
        <v>153</v>
      </c>
      <c r="F11" s="17" t="s">
        <v>296</v>
      </c>
      <c r="G11" s="17" t="s">
        <v>106</v>
      </c>
      <c r="H11" s="22" t="s">
        <v>54</v>
      </c>
      <c r="I11" s="17"/>
    </row>
    <row r="12" customFormat="false" ht="15" hidden="false" customHeight="false" outlineLevel="0" collapsed="false">
      <c r="A12" s="22" t="n">
        <v>11</v>
      </c>
      <c r="B12" s="17" t="s">
        <v>297</v>
      </c>
      <c r="C12" s="17" t="s">
        <v>298</v>
      </c>
      <c r="D12" s="17" t="s">
        <v>274</v>
      </c>
      <c r="E12" s="17" t="s">
        <v>142</v>
      </c>
      <c r="F12" s="17" t="s">
        <v>120</v>
      </c>
      <c r="G12" s="17" t="s">
        <v>299</v>
      </c>
      <c r="H12" s="22" t="s">
        <v>54</v>
      </c>
      <c r="I12" s="17"/>
    </row>
    <row r="13" customFormat="false" ht="15" hidden="false" customHeight="false" outlineLevel="0" collapsed="false">
      <c r="A13" s="22" t="n">
        <v>12</v>
      </c>
      <c r="B13" s="17" t="s">
        <v>300</v>
      </c>
      <c r="C13" s="17" t="s">
        <v>301</v>
      </c>
      <c r="D13" s="17" t="s">
        <v>267</v>
      </c>
      <c r="E13" s="17" t="s">
        <v>81</v>
      </c>
      <c r="F13" s="17" t="s">
        <v>68</v>
      </c>
      <c r="G13" s="17" t="s">
        <v>74</v>
      </c>
      <c r="H13" s="22" t="s">
        <v>54</v>
      </c>
      <c r="I13" s="17"/>
    </row>
  </sheetData>
  <dataValidations count="1">
    <dataValidation allowBlank="true" errorStyle="stop" operator="between" showDropDown="false" showErrorMessage="false" showInputMessage="false" sqref="H2:H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2026-09-20T05:10:28Z</dcterms:created>
  <dc:creator>openpyxl</dc:creator>
  <dc:description/>
  <dc:language>en-US</dc:language>
  <cp:lastModifiedBy/>
  <dcterms:modified xsi:type="dcterms:W3CDTF">2026-09-20T05:10:28Z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